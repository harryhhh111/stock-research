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77809930a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da83ec6f664f75"/>
    <x:sheet xmlns:r="http://schemas.openxmlformats.org/officeDocument/2006/relationships" name="Assumptions" sheetId="2" r:id="R393fcc1daedf41e0"/>
    <x:sheet xmlns:r="http://schemas.openxmlformats.org/officeDocument/2006/relationships" name="DCF Build" sheetId="3" r:id="R250da15f41194c37"/>
    <x:sheet xmlns:r="http://schemas.openxmlformats.org/officeDocument/2006/relationships" name="Sources" sheetId="4" r:id="R6c5c6cc2aa1a46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(#,##0);-"/>
    <x:numFmt numFmtId="201" formatCode="0.0%"/>
    <x:numFmt numFmtId="202" formatCode="$#,##0.00;($#,##0.00);-"/>
    <x:numFmt numFmtId="203" formatCode="$#,##0;($#,##0);-"/>
    <x:numFmt numFmtId="204" formatCode="0.0x"/>
    <x:numFmt numFmtId="205" formatCode="0x"/>
  </x:numFmts>
  <x:fonts count="16">
    <x:font>
      <x:sz val="11"/>
      <x:name val="Carlito"/>
    </x:font>
    <x:font>
      <x:sz val="10"/>
      <x:color rgb="FF1F1F1F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1F4E78"/>
      <x:name val="Arial"/>
    </x:font>
    <x:font>
      <x:sz val="10"/>
      <x:color rgb="FF008000"/>
      <x:name val="Arial"/>
    </x:font>
    <x:font>
      <x:i/>
      <x:sz val="10"/>
      <x:color rgb="FF1F1F1F"/>
      <x:name val="Arial"/>
    </x:font>
    <x:font>
      <x:i/>
      <x:sz val="10"/>
      <x:color rgb="FF1F4E78"/>
      <x:name val="Arial"/>
    </x:font>
    <x:font>
      <x:i/>
      <x:sz val="10"/>
      <x:color rgb="FF008000"/>
      <x:name val="Arial"/>
    </x:font>
    <x:font>
      <x:b/>
      <x:sz val="10"/>
      <x:color rgb="FF008000"/>
      <x:name val="Arial"/>
    </x:font>
    <x:font>
      <x:i/>
      <x:sz val="10"/>
      <x:color rgb="FF555555"/>
      <x:name val="Arial"/>
    </x:font>
    <x:font>
      <x:b/>
      <x:sz val="10"/>
      <x:color rgb="FF7F6000"/>
      <x:name val="Arial"/>
    </x:font>
    <x:font>
      <x:b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</x:fills>
  <x:borders count="10">
    <x:border/>
    <x:border>
      <x:left style="dashed">
        <x:color rgb="FF17365D"/>
      </x:left>
      <x:right style="dashed">
        <x:color rgb="FF17365D"/>
      </x:right>
      <x:top style="dashed">
        <x:color rgb="FF17365D"/>
      </x:top>
      <x:bottom style="dashed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double">
        <x:color rgb="FF17365D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7" fillId="2" borderId="0" xfId="0" applyNumberFormat="1" applyFont="1" applyFill="1" applyBorder="1"/>
    <x:xf numFmtId="200" fontId="7" fillId="2" borderId="0" xfId="0" applyNumberFormat="1" applyFont="1" applyFill="1" applyBorder="1"/>
    <x:xf numFmtId="0" fontId="8" fillId="0" borderId="0" xfId="0" applyNumberFormat="1" applyFont="1" applyFill="1" applyBorder="1"/>
    <x:xf numFmtId="201" fontId="7" fillId="2" borderId="0" xfId="0" applyNumberFormat="1" applyFont="1" applyFill="1" applyBorder="1"/>
    <x:xf numFmtId="201" fontId="8" fillId="0" borderId="0" xfId="0" applyNumberFormat="1" applyFont="1" applyFill="1" applyBorder="1"/>
    <x:xf numFmtId="0" fontId="9" fillId="0" borderId="0" xfId="0" applyNumberFormat="1" applyFont="1" applyFill="1" applyBorder="1"/>
    <x:xf numFmtId="201" fontId="10" fillId="2" borderId="0" xfId="0" applyNumberFormat="1" applyFont="1" applyFill="1" applyBorder="1"/>
    <x:xf numFmtId="201" fontId="11" fillId="0" borderId="0" xfId="0" applyNumberFormat="1" applyFont="1" applyFill="1" applyBorder="1"/>
    <x:xf numFmtId="200" fontId="8" fillId="0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6" xfId="0" applyNumberFormat="1" applyFont="1" applyFill="1" applyBorder="1" applyAlignment="1">
      <x:alignment horizontal="left"/>
    </x:xf>
    <x:xf numFmtId="0" fontId="5" fillId="6" borderId="7" xfId="0" applyNumberFormat="1" applyFont="1" applyFill="1" applyBorder="1" applyAlignment="1">
      <x:alignment horizontal="left"/>
    </x:xf>
    <x:xf numFmtId="0" fontId="5" fillId="6" borderId="8" xfId="0" applyNumberFormat="1" applyFont="1" applyFill="1" applyBorder="1" applyAlignment="1">
      <x:alignment horizontal="left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5" fillId="3" borderId="2" xfId="0" applyNumberFormat="1" applyFont="1" applyFill="1" applyBorder="1" applyAlignment="1">
      <x:alignment horizontal="center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/>
    <x:xf numFmtId="204" fontId="1" fillId="2" borderId="0" xfId="0" applyNumberFormat="1" applyFont="1" applyFill="1" applyBorder="1"/>
    <x:xf numFmtId="0" fontId="14" fillId="2" borderId="0" xfId="0" applyNumberFormat="1" applyFont="1" applyFill="1" applyBorder="1"/>
    <x:xf numFmtId="203" fontId="14" fillId="2" borderId="0" xfId="0" applyNumberFormat="1" applyFont="1" applyFill="1" applyBorder="1"/>
    <x:xf numFmtId="204" fontId="14" fillId="2" borderId="0" xfId="0" applyNumberFormat="1" applyFont="1" applyFill="1" applyBorder="1"/>
    <x:xf numFmtId="200" fontId="1" fillId="0" borderId="0" xfId="0" applyNumberFormat="1" applyFont="1" applyFill="1" applyBorder="1"/>
    <x:xf numFmtId="0" fontId="13" fillId="5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/>
    <x:xf numFmtId="0" fontId="15" fillId="4" borderId="0" xfId="0" applyNumberFormat="1" applyFont="1" applyFill="1" applyBorder="1"/>
    <x:xf numFmtId="200" fontId="15" fillId="4" borderId="0" xfId="0" applyNumberFormat="1" applyFont="1" applyFill="1" applyBorder="1"/>
    <x:xf numFmtId="0" fontId="15" fillId="4" borderId="9" xfId="0" applyNumberFormat="1" applyFont="1" applyFill="1" applyBorder="1"/>
    <x:xf numFmtId="200" fontId="15" fillId="4" borderId="9" xfId="0" applyNumberFormat="1" applyFont="1" applyFill="1" applyBorder="1"/>
    <x:xf numFmtId="202" fontId="1" fillId="4" borderId="0" xfId="0" applyNumberFormat="1" applyFont="1" applyFill="1" applyBorder="1"/>
    <x:xf numFmtId="202" fontId="6" fillId="4" borderId="0" xfId="0" applyNumberFormat="1" applyFont="1" applyFill="1" applyBorder="1"/>
    <x:xf numFmtId="201" fontId="1" fillId="4" borderId="0" xfId="0" applyNumberFormat="1" applyFont="1" applyFill="1" applyBorder="1"/>
    <x:xf numFmtId="201" fontId="6" fillId="4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334cf50424953" /><Relationship Type="http://schemas.openxmlformats.org/officeDocument/2006/relationships/theme" Target="/xl/theme/theme1.xml" Id="Re78fae446dae4221" /><Relationship Type="http://schemas.openxmlformats.org/officeDocument/2006/relationships/sharedStrings" Target="/xl/sharedStrings.xml" Id="R0a05be94fbe24029" /><Relationship Type="http://schemas.openxmlformats.org/officeDocument/2006/relationships/worksheet" Target="/xl/worksheets/sheet1.xml" Id="R81da83ec6f664f75" /><Relationship Type="http://schemas.openxmlformats.org/officeDocument/2006/relationships/worksheet" Target="/xl/worksheets/sheet2.xml" Id="R393fcc1daedf41e0" /><Relationship Type="http://schemas.openxmlformats.org/officeDocument/2006/relationships/worksheet" Target="/xl/worksheets/sheet3.xml" Id="R250da15f41194c37" /><Relationship Type="http://schemas.openxmlformats.org/officeDocument/2006/relationships/worksheet" Target="/xl/worksheets/sheet4.xml" Id="R6c5c6cc2aa1a46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3" max="3" width="25" hidden="0" customWidth="1"/>
    <x:col min="4" max="4" width="15" hidden="0" customWidth="1"/>
    <x:col min="5" max="5" width="30" hidden="0" customWidth="1"/>
    <x:col min="6" max="6" width="15" hidden="0" customWidth="1"/>
    <x:col min="7" max="7" width="2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8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1"/>
      <x:c r="B2" s="1"/>
      <x:c r="C2" s="3" t="str">
        <x:v>Tesla 股票定价：PE、市场隐含利润与分部 DCF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" t="str">
        <x:v>市场数据截至 2026-09-12；财务实际值截至 2026Q2，预测输入可在 Assumptions 修改。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 t="str">
        <x:v>情景选择</x:v>
      </x:c>
      <x:c r="D4" s="33" t="str">
        <x:f>Assumptions!D3</x:f>
        <x:v>Base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39" t="str">
        <x:v>市场参考</x:v>
      </x:c>
      <x:c r="D6" s="41"/>
      <x:c r="E6" s="1"/>
      <x:c r="F6" s="1"/>
      <x:c r="G6" s="39" t="str">
        <x:v>DCF 结果</x:v>
      </x:c>
      <x:c r="H6" s="4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 t="str">
        <x:v>股价</x:v>
      </x:c>
      <x:c r="D7" s="42" t="n">
        <x:v>365.44</x:v>
      </x:c>
      <x:c r="E7" s="1"/>
      <x:c r="F7" s="1"/>
      <x:c r="G7" s="1" t="str">
        <x:v>企业价值</x:v>
      </x:c>
      <x:c r="H7" s="43" t="n">
        <x:f>'DCF Build'!E37</x:f>
        <x:v>231681.06879574966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 t="str">
        <x:v>市值</x:v>
      </x:c>
      <x:c r="D8" s="43" t="n">
        <x:v>1293658</x:v>
      </x:c>
      <x:c r="E8" s="1"/>
      <x:c r="F8" s="1"/>
      <x:c r="G8" s="1" t="str">
        <x:v>净现金</x:v>
      </x:c>
      <x:c r="H8" s="43" t="n">
        <x:f>'DCF Build'!E38</x:f>
        <x:v>34182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 t="str">
        <x:v>TTM 稀释后 EPS</x:v>
      </x:c>
      <x:c r="D9" s="42" t="n">
        <x:v>1.08</x:v>
      </x:c>
      <x:c r="E9" s="1"/>
      <x:c r="F9" s="1"/>
      <x:c r="G9" s="1" t="str">
        <x:v>股权价值</x:v>
      </x:c>
      <x:c r="H9" s="43" t="n">
        <x:f>'DCF Build'!E39</x:f>
        <x:v>265863.0687957497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 t="str">
        <x:v>TTM PE</x:v>
      </x:c>
      <x:c r="D10" s="44" t="n">
        <x:f>D7/D9</x:f>
        <x:v>338.3703703703703</x:v>
      </x:c>
      <x:c r="E10" s="1"/>
      <x:c r="F10" s="1"/>
      <x:c r="G10" s="1" t="str">
        <x:v>稀释后股数</x:v>
      </x:c>
      <x:c r="H10" s="43" t="n">
        <x:f>'DCF Build'!E41</x:f>
        <x:v>3949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 t="str">
        <x:v>FY2025 归母净利润</x:v>
      </x:c>
      <x:c r="D11" s="43" t="n">
        <x:v>3794</x:v>
      </x:c>
      <x:c r="E11" s="1"/>
      <x:c r="F11" s="1"/>
      <x:c r="G11" s="14" t="str">
        <x:v>每股内在价值</x:v>
      </x:c>
      <x:c r="H11" s="63" t="n">
        <x:f>'DCF Build'!E42</x:f>
        <x:v>67.3241501128766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4" t="str">
        <x:v>当前股价</x:v>
      </x:c>
      <x:c r="H12" s="63" t="n">
        <x:f>D7</x:f>
        <x:v>365.44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39" t="str">
        <x:v>市场隐含的年度净利润（仅为目标 PE 反推，不是预测）</x:v>
      </x:c>
      <x:c r="D13" s="40"/>
      <x:c r="E13" s="41"/>
      <x:c r="F13" s="1"/>
      <x:c r="G13" s="14" t="str">
        <x:v>相对当前股价</x:v>
      </x:c>
      <x:c r="H13" s="65" t="n">
        <x:f>H11/H12-1</x:f>
        <x:v>-0.8157723563023298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2" t="str">
        <x:v>目标 PE</x:v>
      </x:c>
      <x:c r="D14" s="12" t="str">
        <x:v>所需归母净利润</x:v>
      </x:c>
      <x:c r="E14" s="12" t="str">
        <x:v>相对 FY2025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45" t="n">
        <x:v>20</x:v>
      </x:c>
      <x:c r="D15" s="43" t="n">
        <x:f>$D$8/C15</x:f>
        <x:v>64682.9</x:v>
      </x:c>
      <x:c r="E15" s="44" t="n">
        <x:f>D15/$D$11</x:f>
        <x:v>17.048734844491303</x:v>
      </x:c>
      <x:c r="F15" s="1"/>
      <x:c r="G15" s="39" t="str">
        <x:v>分部 PV 贡献</x:v>
      </x:c>
      <x:c r="H15" s="4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45" t="n">
        <x:v>25</x:v>
      </x:c>
      <x:c r="D16" s="43" t="n">
        <x:f>$D$8/C16</x:f>
        <x:v>51746.32</x:v>
      </x:c>
      <x:c r="E16" s="44" t="n">
        <x:f>D16/$D$11</x:f>
        <x:v>13.638987875593042</x:v>
      </x:c>
      <x:c r="F16" s="1"/>
      <x:c r="G16" s="1" t="str">
        <x:v>核心汽车+服务</x:v>
      </x:c>
      <x:c r="H16" s="43" t="n">
        <x:f>'DCF Build'!E32</x:f>
        <x:v>108250.50164537941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45" t="n">
        <x:v>30</x:v>
      </x:c>
      <x:c r="D17" s="43" t="n">
        <x:f>$D$8/C17</x:f>
        <x:v>43121.933333333334</x:v>
      </x:c>
      <x:c r="E17" s="44" t="n">
        <x:f>D17/$D$11</x:f>
        <x:v>11.365823229660869</x:v>
      </x:c>
      <x:c r="F17" s="1"/>
      <x:c r="G17" s="1" t="str">
        <x:v>储能</x:v>
      </x:c>
      <x:c r="H17" s="43" t="n">
        <x:f>'DCF Build'!E33</x:f>
        <x:v>50549.48686701726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45" t="n">
        <x:v>40</x:v>
      </x:c>
      <x:c r="D18" s="43" t="n">
        <x:f>$D$8/C18</x:f>
        <x:v>32341.45</x:v>
      </x:c>
      <x:c r="E18" s="44" t="n">
        <x:f>D18/$D$11</x:f>
        <x:v>8.524367422245652</x:v>
      </x:c>
      <x:c r="F18" s="1"/>
      <x:c r="G18" s="1" t="str">
        <x:v>FSD 增量</x:v>
      </x:c>
      <x:c r="H18" s="43" t="n">
        <x:f>'DCF Build'!E34</x:f>
        <x:v>63374.85242030694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45" t="n">
        <x:v>50</x:v>
      </x:c>
      <x:c r="D19" s="43" t="n">
        <x:f>$D$8/C19</x:f>
        <x:v>25873.16</x:v>
      </x:c>
      <x:c r="E19" s="44" t="n">
        <x:f>D19/$D$11</x:f>
        <x:v>6.819493937796521</x:v>
      </x:c>
      <x:c r="F19" s="1"/>
      <x:c r="G19" s="1" t="str">
        <x:v>Robotaxi</x:v>
      </x:c>
      <x:c r="H19" s="43" t="n">
        <x:f>'DCF Build'!E35</x:f>
        <x:v>8642.025330041855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 t="str">
        <x:v>Optimus</x:v>
      </x:c>
      <x:c r="H20" s="43" t="n">
        <x:f>'DCF Build'!E36</x:f>
        <x:v>864.2025330041856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 t="str">
        <x:v>净现金</x:v>
      </x:c>
      <x:c r="H21" s="43" t="n">
        <x:f>'DCF Build'!E38</x:f>
        <x:v>34182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49" t="str">
        <x:v>读法：PE 高不是估值结论，而是当前市值相对当前 GAAP 利润很高。真正的问题是未来能否形成足够大的、可持续的自由现金流；把黄色输入改成你的假设后，看 H11 和敏感性表。</x:v>
      </x:c>
      <x:c r="D22" s="49"/>
      <x:c r="E22" s="49"/>
      <x:c r="F22" s="49"/>
      <x:c r="G22" s="49"/>
      <x:c r="H22" s="49"/>
      <x:c r="I22" s="49"/>
      <x:c r="J22" s="49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39" t="str">
        <x:v>每股内在价值敏感性：WACC × 永续增长率</x:v>
      </x:c>
      <x:c r="H23" s="40"/>
      <x:c r="I23" s="40"/>
      <x:c r="J23" s="4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39" t="str">
        <x:v>反向 DCF：要让当前价格成立，需要怎样的 2030 FCF？</x:v>
      </x:c>
      <x:c r="D24" s="40"/>
      <x:c r="E24" s="41"/>
      <x:c r="F24" s="1"/>
      <x:c r="G24" s="12" t="str">
        <x:v>WACC \ g</x:v>
      </x:c>
      <x:c r="H24" s="47" t="n">
        <x:v>0.025</x:v>
      </x:c>
      <x:c r="I24" s="47" t="n">
        <x:v>0.03</x:v>
      </x:c>
      <x:c r="J24" s="47" t="n">
        <x:v>0.035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 t="str">
        <x:v>当前企业价值</x:v>
      </x:c>
      <x:c r="D25" s="43" t="n">
        <x:f>$D$8-Assumptions!$D$6</x:f>
        <x:v>1259476</x:v>
      </x:c>
      <x:c r="E25" s="1"/>
      <x:c r="F25" s="1"/>
      <x:c r="G25" s="46" t="n">
        <x:v>0.08</x:v>
      </x:c>
      <x:c r="H25" s="42" t="n">
        <x:f>('DCF Build'!$G$27/(1+$G25)^1+'DCF Build'!$H$27/(1+$G25)^2+'DCF Build'!$I$27/(1+$G25)^3+'DCF Build'!$J$27/(1+$G25)^4+'DCF Build'!$J$27*(1+H$24)/($G25-H$24)/(1+$G25)^4+Assumptions!$D$6)/Assumptions!$D$7</x:f>
        <x:v>85.60672036170823</x:v>
      </x:c>
      <x:c r="I25" s="42" t="n">
        <x:f>('DCF Build'!$G$27/(1+$G25)^1+'DCF Build'!$H$27/(1+$G25)^2+'DCF Build'!$I$27/(1+$G25)^3+'DCF Build'!$J$27/(1+$G25)^4+'DCF Build'!$J$27*(1+I$24)/($G25-I$24)/(1+$G25)^4+Assumptions!$D$6)/Assumptions!$D$7</x:f>
        <x:v>92.63642958100696</x:v>
      </x:c>
      <x:c r="J25" s="42" t="n">
        <x:f>('DCF Build'!$G$27/(1+$G25)^1+'DCF Build'!$H$27/(1+$G25)^2+'DCF Build'!$I$27/(1+$G25)^3+'DCF Build'!$J$27/(1+$G25)^4+'DCF Build'!$J$27*(1+J$24)/($G25-J$24)/(1+$G25)^4+Assumptions!$D$6)/Assumptions!$D$7</x:f>
        <x:v>101.22829640459429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 t="str">
        <x:v>Base WACC / g</x:v>
      </x:c>
      <x:c r="D26" s="46" t="n">
        <x:f>Assumptions!$I$11</x:f>
        <x:v>0.1</x:v>
      </x:c>
      <x:c r="E26" s="46" t="n">
        <x:f>Assumptions!$I$12</x:f>
        <x:v>0.03</x:v>
      </x:c>
      <x:c r="F26" s="1"/>
      <x:c r="G26" s="46" t="n">
        <x:v>0.09</x:v>
      </x:c>
      <x:c r="H26" s="42" t="n">
        <x:f>('DCF Build'!$G$27/(1+$G26)^1+'DCF Build'!$H$27/(1+$G26)^2+'DCF Build'!$I$27/(1+$G26)^3+'DCF Build'!$J$27/(1+$G26)^4+'DCF Build'!$J$27*(1+H$24)/($G26-H$24)/(1+$G26)^4+Assumptions!$D$6)/Assumptions!$D$7</x:f>
        <x:v>73.03724824119075</x:v>
      </x:c>
      <x:c r="I26" s="42" t="n">
        <x:f>('DCF Build'!$G$27/(1+$G26)^1+'DCF Build'!$H$27/(1+$G26)^2+'DCF Build'!$I$27/(1+$G26)^3+'DCF Build'!$J$27/(1+$G26)^4+'DCF Build'!$J$27*(1+I$24)/($G26-I$24)/(1+$G26)^4+Assumptions!$D$6)/Assumptions!$D$7</x:f>
        <x:v>77.85891532061295</x:v>
      </x:c>
      <x:c r="J26" s="42" t="n">
        <x:f>('DCF Build'!$G$27/(1+$G26)^1+'DCF Build'!$H$27/(1+$G26)^2+'DCF Build'!$I$27/(1+$G26)^3+'DCF Build'!$J$27/(1+$G26)^4+'DCF Build'!$J$27*(1+J$24)/($G26-J$24)/(1+$G26)^4+Assumptions!$D$6)/Assumptions!$D$7</x:f>
        <x:v>83.55724914174824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 t="str">
        <x:v>Base 2030 FCF</x:v>
      </x:c>
      <x:c r="D27" s="43" t="n">
        <x:f>'DCF Build'!$J$27</x:f>
        <x:v>19233.505708</x:v>
      </x:c>
      <x:c r="E27" s="1"/>
      <x:c r="F27" s="1"/>
      <x:c r="G27" s="46" t="n">
        <x:v>0.1</x:v>
      </x:c>
      <x:c r="H27" s="42" t="n">
        <x:f>('DCF Build'!$G$27/(1+$G27)^1+'DCF Build'!$H$27/(1+$G27)^2+'DCF Build'!$I$27/(1+$G27)^3+'DCF Build'!$J$27/(1+$G27)^4+'DCF Build'!$J$27*(1+H$24)/($G27-H$24)/(1+$G27)^4+Assumptions!$D$6)/Assumptions!$D$7</x:f>
        <x:v>63.83914064413937</x:v>
      </x:c>
      <x:c r="I27" s="42" t="n">
        <x:f>('DCF Build'!$G$27/(1+$G27)^1+'DCF Build'!$H$27/(1+$G27)^2+'DCF Build'!$I$27/(1+$G27)^3+'DCF Build'!$J$27/(1+$G27)^4+'DCF Build'!$J$27*(1+I$24)/($G27-I$24)/(1+$G27)^4+Assumptions!$D$6)/Assumptions!$D$7</x:f>
        <x:v>67.3241501128766</x:v>
      </x:c>
      <x:c r="J27" s="42" t="n">
        <x:f>('DCF Build'!$G$27/(1+$G27)^1+'DCF Build'!$H$27/(1+$G27)^2+'DCF Build'!$I$27/(1+$G27)^3+'DCF Build'!$J$27/(1+$G27)^4+'DCF Build'!$J$27*(1+J$24)/($G27-J$24)/(1+$G27)^4+Assumptions!$D$6)/Assumptions!$D$7</x:f>
        <x:v>71.34531488449645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52" t="str">
        <x:v>终值单独匹配 EV 所需 2030 FCF</x:v>
      </x:c>
      <x:c r="D28" s="53" t="n">
        <x:f>D25*(Assumptions!$I$11-Assumptions!$I$12)/(1+Assumptions!$I$12)*(1+Assumptions!$I$11)^4</x:f>
        <x:v>125320.30758446605</x:v>
      </x:c>
      <x:c r="E28" s="52"/>
      <x:c r="F28" s="1"/>
      <x:c r="G28" s="46" t="n">
        <x:v>0.11</x:v>
      </x:c>
      <x:c r="H28" s="42" t="n">
        <x:f>('DCF Build'!$G$27/(1+$G28)^1+'DCF Build'!$H$27/(1+$G28)^2+'DCF Build'!$I$27/(1+$G28)^3+'DCF Build'!$J$27/(1+$G28)^4+'DCF Build'!$J$27*(1+H$24)/($G28-H$24)/(1+$G28)^4+Assumptions!$D$6)/Assumptions!$D$7</x:f>
        <x:v>56.82180252843761</x:v>
      </x:c>
      <x:c r="I28" s="42" t="n">
        <x:f>('DCF Build'!$G$27/(1+$G28)^1+'DCF Build'!$H$27/(1+$G28)^2+'DCF Build'!$I$27/(1+$G28)^3+'DCF Build'!$J$27/(1+$G28)^4+'DCF Build'!$J$27*(1+I$24)/($G28-I$24)/(1+$G28)^4+Assumptions!$D$6)/Assumptions!$D$7</x:f>
        <x:v>59.440368212581824</x:v>
      </x:c>
      <x:c r="J28" s="42" t="n">
        <x:f>('DCF Build'!$G$27/(1+$G28)^1+'DCF Build'!$H$27/(1+$G28)^2+'DCF Build'!$I$27/(1+$G28)^3+'DCF Build'!$J$27/(1+$G28)^4+'DCF Build'!$J$27*(1+J$24)/($G28-J$24)/(1+$G28)^4+Assumptions!$D$6)/Assumptions!$D$7</x:f>
        <x:v>62.40807598794525</x:v>
      </x:c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52" t="str">
        <x:v>所需 FCF / Base FCF</x:v>
      </x:c>
      <x:c r="D29" s="54" t="n">
        <x:f>D28/D27</x:f>
        <x:v>6.515728826926243</x:v>
      </x:c>
      <x:c r="E29" s="52"/>
      <x:c r="F29" s="1"/>
      <x:c r="G29" s="46" t="n">
        <x:v>0.12</x:v>
      </x:c>
      <x:c r="H29" s="42" t="n">
        <x:f>('DCF Build'!$G$27/(1+$G29)^1+'DCF Build'!$H$27/(1+$G29)^2+'DCF Build'!$I$27/(1+$G29)^3+'DCF Build'!$J$27/(1+$G29)^4+'DCF Build'!$J$27*(1+H$24)/($G29-H$24)/(1+$G29)^4+Assumptions!$D$6)/Assumptions!$D$7</x:f>
        <x:v>51.29597343910455</x:v>
      </x:c>
      <x:c r="I29" s="42" t="n">
        <x:f>('DCF Build'!$G$27/(1+$G29)^1+'DCF Build'!$H$27/(1+$G29)^2+'DCF Build'!$I$27/(1+$G29)^3+'DCF Build'!$J$27/(1+$G29)^4+'DCF Build'!$J$27*(1+I$24)/($G29-I$24)/(1+$G29)^4+Assumptions!$D$6)/Assumptions!$D$7</x:f>
        <x:v>53.323287994889775</x:v>
      </x:c>
      <x:c r="J29" s="42" t="n">
        <x:f>('DCF Build'!$G$27/(1+$G29)^1+'DCF Build'!$H$27/(1+$G29)^2+'DCF Build'!$I$27/(1+$G29)^3+'DCF Build'!$J$27/(1+$G29)^4+'DCF Build'!$J$27*(1+J$24)/($G29-J$24)/(1+$G29)^4+Assumptions!$D$6)/Assumptions!$D$7</x:f>
        <x:v>55.58911014547326</x:v>
      </x:c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C6:D6"/>
    <x:mergeCell ref="C13:E13"/>
    <x:mergeCell ref="G6:H6"/>
    <x:mergeCell ref="G15:H15"/>
    <x:mergeCell ref="G23:J23"/>
    <x:mergeCell ref="C22:J22"/>
    <x:mergeCell ref="C24:E24"/>
  </x:mergeCells>
  <x:conditionalFormatting sqref="H13:H13">
    <x:cfRule type="cellIs" dxfId="0" priority="1" operator="lessThan">
      <x:formula>0</x:formula>
    </x:cfRule>
    <x:cfRule type="cellIs" dxfId="1" priority="2" operator="greaterThanOrEqual">
      <x:formula>0</x:formula>
    </x:cfRule>
  </x:conditionalFormatting>
  <x:conditionalFormatting sqref="H25:J29">
    <x:cfRule type="colorScale" priority="3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3" max="3" width="31" hidden="0" customWidth="1"/>
    <x:col min="4" max="4" width="15" hidden="0" customWidth="1"/>
    <x:col min="5" max="5" width="35" hidden="0" customWidth="1"/>
    <x:col min="6" max="6" width="15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8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1"/>
      <x:c r="B2" s="1"/>
      <x:c r="C2" s="3" t="str">
        <x:v>Tesla 估值模型 — 假设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" t="str">
        <x:v>情景选择</x:v>
      </x:c>
      <x:c r="D3" s="8" t="str">
        <x:v>Base</x:v>
      </x:c>
      <x:c r="E3" s="1"/>
      <x:c r="F3" s="12" t="str">
        <x:v>Bear</x:v>
      </x:c>
      <x:c r="G3" s="12" t="str">
        <x:v>Base</x:v>
      </x:c>
      <x:c r="H3" s="12" t="str">
        <x:v>Bull</x:v>
      </x:c>
      <x:c r="I3" s="12" t="str">
        <x:v>Active</x:v>
      </x:c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5" t="str">
        <x:v>全局输入</x:v>
      </x:c>
      <x:c r="D5" s="16"/>
      <x:c r="E5" s="16"/>
      <x:c r="F5" s="16"/>
      <x:c r="G5" s="16"/>
      <x:c r="H5" s="16"/>
      <x:c r="I5" s="17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 t="str">
        <x:v>净现金（2026Q2）</x:v>
      </x:c>
      <x:c r="D6" s="19" t="n">
        <x:v>34182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 t="str">
        <x:v>稀释后股数</x:v>
      </x:c>
      <x:c r="D7" s="19" t="n">
        <x:v>3949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 t="str">
        <x:v>估值基准</x:v>
      </x:c>
      <x:c r="D8" s="18" t="str">
        <x:v>2026E 年末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2" t="str">
        <x:v>驱动项</x:v>
      </x:c>
      <x:c r="D10" s="12" t="str">
        <x:v>单位</x:v>
      </x:c>
      <x:c r="E10" s="12" t="str">
        <x:v>定义</x:v>
      </x:c>
      <x:c r="F10" s="12" t="str">
        <x:v>Bear</x:v>
      </x:c>
      <x:c r="G10" s="12" t="str">
        <x:v>Base</x:v>
      </x:c>
      <x:c r="H10" s="12" t="str">
        <x:v>Bull</x:v>
      </x:c>
      <x:c r="I10" s="12" t="str">
        <x:v>Active</x:v>
      </x:c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23" t="str">
        <x:v>WACC</x:v>
      </x:c>
      <x:c r="D11" s="23" t="str">
        <x:v>%</x:v>
      </x:c>
      <x:c r="E11" s="23" t="str">
        <x:v>权益要求回报率</x:v>
      </x:c>
      <x:c r="F11" s="24" t="n">
        <x:v>0.11</x:v>
      </x:c>
      <x:c r="G11" s="24" t="n">
        <x:v>0.1</x:v>
      </x:c>
      <x:c r="H11" s="24" t="n">
        <x:v>0.09</x:v>
      </x:c>
      <x:c r="I11" s="25" t="n">
        <x:f>IF($D$3="Bear",F11,IF($D$3="Base",G11,H11))</x:f>
        <x:v>0.1</x:v>
      </x:c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23" t="str">
        <x:v>永续增长率</x:v>
      </x:c>
      <x:c r="D12" s="23" t="str">
        <x:v>%</x:v>
      </x:c>
      <x:c r="E12" s="23" t="str">
        <x:v>2030 年后 FCF 增长率</x:v>
      </x:c>
      <x:c r="F12" s="24" t="n">
        <x:v>0.025</x:v>
      </x:c>
      <x:c r="G12" s="24" t="n">
        <x:v>0.03</x:v>
      </x:c>
      <x:c r="H12" s="24" t="n">
        <x:v>0.035</x:v>
      </x:c>
      <x:c r="I12" s="25" t="n">
        <x:f>IF($D$3="Bear",F12,IF($D$3="Base",G12,H12))</x:f>
        <x:v>0.03</x:v>
      </x:c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 t="str">
        <x:v>核心汽车+服务收入（2026E）</x:v>
      </x:c>
      <x:c r="D14" s="1" t="str">
        <x:v>USD m</x:v>
      </x:c>
      <x:c r="E14" s="1" t="str">
        <x:v>2026E 共识：汽车收入 + 服务收入</x:v>
      </x:c>
      <x:c r="F14" s="19" t="n">
        <x:v>89688</x:v>
      </x:c>
      <x:c r="G14" s="19" t="n">
        <x:v>89688</x:v>
      </x:c>
      <x:c r="H14" s="19" t="n">
        <x:v>89688</x:v>
      </x:c>
      <x:c r="I14" s="26" t="n">
        <x:f>IF($D$3="Bear",F14,IF($D$3="Base",G14,H14))</x:f>
        <x:v>89688</x:v>
      </x:c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23" t="str">
        <x:v>核心收入年增长率（2027–30）</x:v>
      </x:c>
      <x:c r="D15" s="23" t="str">
        <x:v>%</x:v>
      </x:c>
      <x:c r="E15" s="23" t="str">
        <x:v>每年固定增长率</x:v>
      </x:c>
      <x:c r="F15" s="24" t="n">
        <x:v>0</x:v>
      </x:c>
      <x:c r="G15" s="24" t="n">
        <x:v>0.05</x:v>
      </x:c>
      <x:c r="H15" s="24" t="n">
        <x:v>0.1</x:v>
      </x:c>
      <x:c r="I15" s="25" t="n">
        <x:f>IF($D$3="Bear",F15,IF($D$3="Base",G15,H15))</x:f>
        <x:v>0.05</x:v>
      </x:c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23" t="str">
        <x:v>核心 FCF 利润率（2026E）</x:v>
      </x:c>
      <x:c r="D16" s="23" t="str">
        <x:v>%</x:v>
      </x:c>
      <x:c r="E16" s="23" t="str">
        <x:v>税后、资本开支后的自由现金流率</x:v>
      </x:c>
      <x:c r="F16" s="24" t="n">
        <x:v>0.02</x:v>
      </x:c>
      <x:c r="G16" s="24" t="n">
        <x:v>0.04</x:v>
      </x:c>
      <x:c r="H16" s="24" t="n">
        <x:v>0.06</x:v>
      </x:c>
      <x:c r="I16" s="25" t="n">
        <x:f>IF($D$3="Bear",F16,IF($D$3="Base",G16,H16))</x:f>
        <x:v>0.04</x:v>
      </x:c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23" t="str">
        <x:v>核心 FCF 利润率（2030E）</x:v>
      </x:c>
      <x:c r="D17" s="23" t="str">
        <x:v>%</x:v>
      </x:c>
      <x:c r="E17" s="23" t="str">
        <x:v>2026–30 线性提升</x:v>
      </x:c>
      <x:c r="F17" s="24" t="n">
        <x:v>0.05</x:v>
      </x:c>
      <x:c r="G17" s="24" t="n">
        <x:v>0.08</x:v>
      </x:c>
      <x:c r="H17" s="24" t="n">
        <x:v>0.12</x:v>
      </x:c>
      <x:c r="I17" s="25" t="n">
        <x:f>IF($D$3="Bear",F17,IF($D$3="Base",G17,H17))</x:f>
        <x:v>0.08</x:v>
      </x:c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 t="str">
        <x:v>储能收入（2026E）</x:v>
      </x:c>
      <x:c r="D19" s="1" t="str">
        <x:v>USD m</x:v>
      </x:c>
      <x:c r="E19" s="1" t="str">
        <x:v>2026E 公司汇总分析师共识</x:v>
      </x:c>
      <x:c r="F19" s="19" t="n">
        <x:v>15533</x:v>
      </x:c>
      <x:c r="G19" s="19" t="n">
        <x:v>15533</x:v>
      </x:c>
      <x:c r="H19" s="19" t="n">
        <x:v>15533</x:v>
      </x:c>
      <x:c r="I19" s="26" t="n">
        <x:f>IF($D$3="Bear",F19,IF($D$3="Base",G19,H19))</x:f>
        <x:v>15533</x:v>
      </x:c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23" t="str">
        <x:v>储能收入年增长率（2027–30）</x:v>
      </x:c>
      <x:c r="D20" s="23" t="str">
        <x:v>%</x:v>
      </x:c>
      <x:c r="E20" s="23" t="str">
        <x:v>每年固定增长率</x:v>
      </x:c>
      <x:c r="F20" s="24" t="n">
        <x:v>0.1</x:v>
      </x:c>
      <x:c r="G20" s="24" t="n">
        <x:v>0.2</x:v>
      </x:c>
      <x:c r="H20" s="24" t="n">
        <x:v>0.3</x:v>
      </x:c>
      <x:c r="I20" s="25" t="n">
        <x:f>IF($D$3="Bear",F20,IF($D$3="Base",G20,H20))</x:f>
        <x:v>0.2</x:v>
      </x:c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23" t="str">
        <x:v>储能 FCF 利润率（2026E）</x:v>
      </x:c>
      <x:c r="D21" s="23" t="str">
        <x:v>%</x:v>
      </x:c>
      <x:c r="E21" s="23" t="str">
        <x:v>税后、资本开支后的自由现金流率</x:v>
      </x:c>
      <x:c r="F21" s="24" t="n">
        <x:v>0.05</x:v>
      </x:c>
      <x:c r="G21" s="24" t="n">
        <x:v>0.07</x:v>
      </x:c>
      <x:c r="H21" s="24" t="n">
        <x:v>0.1</x:v>
      </x:c>
      <x:c r="I21" s="25" t="n">
        <x:f>IF($D$3="Bear",F21,IF($D$3="Base",G21,H21))</x:f>
        <x:v>0.07</x:v>
      </x:c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23" t="str">
        <x:v>储能 FCF 利润率（2030E）</x:v>
      </x:c>
      <x:c r="D22" s="23" t="str">
        <x:v>%</x:v>
      </x:c>
      <x:c r="E22" s="23" t="str">
        <x:v>2026–30 线性提升</x:v>
      </x:c>
      <x:c r="F22" s="24" t="n">
        <x:v>0.08</x:v>
      </x:c>
      <x:c r="G22" s="24" t="n">
        <x:v>0.13</x:v>
      </x:c>
      <x:c r="H22" s="24" t="n">
        <x:v>0.18</x:v>
      </x:c>
      <x:c r="I22" s="25" t="n">
        <x:f>IF($D$3="Bear",F22,IF($D$3="Base",G22,H22))</x:f>
        <x:v>0.13</x:v>
      </x:c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 t="str">
        <x:v>FSD 增量收入（2030E）</x:v>
      </x:c>
      <x:c r="D24" s="1" t="str">
        <x:v>USD m</x:v>
      </x:c>
      <x:c r="E24" s="1" t="str">
        <x:v>不重复计入核心业务的新增收入</x:v>
      </x:c>
      <x:c r="F24" s="19" t="n">
        <x:v>2000</x:v>
      </x:c>
      <x:c r="G24" s="19" t="n">
        <x:v>10000</x:v>
      </x:c>
      <x:c r="H24" s="19" t="n">
        <x:v>35000</x:v>
      </x:c>
      <x:c r="I24" s="26" t="n">
        <x:f>IF($D$3="Bear",F24,IF($D$3="Base",G24,H24))</x:f>
        <x:v>10000</x:v>
      </x:c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23" t="str">
        <x:v>FSD FCF 利润率</x:v>
      </x:c>
      <x:c r="D25" s="23" t="str">
        <x:v>%</x:v>
      </x:c>
      <x:c r="E25" s="23" t="str">
        <x:v>成熟期自由现金流率</x:v>
      </x:c>
      <x:c r="F25" s="24" t="n">
        <x:v>0.4</x:v>
      </x:c>
      <x:c r="G25" s="24" t="n">
        <x:v>0.55</x:v>
      </x:c>
      <x:c r="H25" s="24" t="n">
        <x:v>0.6</x:v>
      </x:c>
      <x:c r="I25" s="25" t="n">
        <x:f>IF($D$3="Bear",F25,IF($D$3="Base",G25,H25))</x:f>
        <x:v>0.55</x:v>
      </x:c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23" t="str">
        <x:v>FSD 成功概率</x:v>
      </x:c>
      <x:c r="D26" s="23" t="str">
        <x:v>%</x:v>
      </x:c>
      <x:c r="E26" s="23" t="str">
        <x:v>收入实现概率</x:v>
      </x:c>
      <x:c r="F26" s="24" t="n">
        <x:v>1</x:v>
      </x:c>
      <x:c r="G26" s="24" t="n">
        <x:v>1</x:v>
      </x:c>
      <x:c r="H26" s="24" t="n">
        <x:v>1</x:v>
      </x:c>
      <x:c r="I26" s="25" t="n">
        <x:f>IF($D$3="Bear",F26,IF($D$3="Base",G26,H26))</x:f>
        <x:v>1</x:v>
      </x:c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 t="str">
        <x:v>Robotaxi 收入（2030E）</x:v>
      </x:c>
      <x:c r="D28" s="1" t="str">
        <x:v>USD m</x:v>
      </x:c>
      <x:c r="E28" s="1" t="str">
        <x:v>从零开始的独立业务收入</x:v>
      </x:c>
      <x:c r="F28" s="19" t="n">
        <x:v>0</x:v>
      </x:c>
      <x:c r="G28" s="19" t="n">
        <x:v>15000</x:v>
      </x:c>
      <x:c r="H28" s="19" t="n">
        <x:v>150000</x:v>
      </x:c>
      <x:c r="I28" s="26" t="n">
        <x:f>IF($D$3="Bear",F28,IF($D$3="Base",G28,H28))</x:f>
        <x:v>15000</x:v>
      </x:c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23" t="str">
        <x:v>Robotaxi FCF 利润率</x:v>
      </x:c>
      <x:c r="D29" s="23" t="str">
        <x:v>%</x:v>
      </x:c>
      <x:c r="E29" s="23" t="str">
        <x:v>成熟期自由现金流率</x:v>
      </x:c>
      <x:c r="F29" s="24" t="n">
        <x:v>0</x:v>
      </x:c>
      <x:c r="G29" s="24" t="n">
        <x:v>0.2</x:v>
      </x:c>
      <x:c r="H29" s="24" t="n">
        <x:v>0.35</x:v>
      </x:c>
      <x:c r="I29" s="25" t="n">
        <x:f>IF($D$3="Bear",F29,IF($D$3="Base",G29,H29))</x:f>
        <x:v>0.2</x:v>
      </x:c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23" t="str">
        <x:v>Robotaxi 成功概率</x:v>
      </x:c>
      <x:c r="D30" s="23" t="str">
        <x:v>%</x:v>
      </x:c>
      <x:c r="E30" s="23" t="str">
        <x:v>业务规模实现概率</x:v>
      </x:c>
      <x:c r="F30" s="24" t="n">
        <x:v>0</x:v>
      </x:c>
      <x:c r="G30" s="24" t="n">
        <x:v>0.25</x:v>
      </x:c>
      <x:c r="H30" s="24" t="n">
        <x:v>0.6</x:v>
      </x:c>
      <x:c r="I30" s="25" t="n">
        <x:f>IF($D$3="Bear",F30,IF($D$3="Base",G30,H30))</x:f>
        <x:v>0.25</x:v>
      </x:c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 t="str">
        <x:v>Optimus 收入（2030E）</x:v>
      </x:c>
      <x:c r="D32" s="1" t="str">
        <x:v>USD m</x:v>
      </x:c>
      <x:c r="E32" s="1" t="str">
        <x:v>从零开始的独立业务收入</x:v>
      </x:c>
      <x:c r="F32" s="19" t="n">
        <x:v>0</x:v>
      </x:c>
      <x:c r="G32" s="19" t="n">
        <x:v>5000</x:v>
      </x:c>
      <x:c r="H32" s="19" t="n">
        <x:v>200000</x:v>
      </x:c>
      <x:c r="I32" s="26" t="n">
        <x:f>IF($D$3="Bear",F32,IF($D$3="Base",G32,H32))</x:f>
        <x:v>5000</x:v>
      </x:c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23" t="str">
        <x:v>Optimus FCF 利润率</x:v>
      </x:c>
      <x:c r="D33" s="23" t="str">
        <x:v>%</x:v>
      </x:c>
      <x:c r="E33" s="23" t="str">
        <x:v>成熟期自由现金流率</x:v>
      </x:c>
      <x:c r="F33" s="24" t="n">
        <x:v>0</x:v>
      </x:c>
      <x:c r="G33" s="24" t="n">
        <x:v>0.15</x:v>
      </x:c>
      <x:c r="H33" s="24" t="n">
        <x:v>0.25</x:v>
      </x:c>
      <x:c r="I33" s="25" t="n">
        <x:f>IF($D$3="Bear",F33,IF($D$3="Base",G33,H33))</x:f>
        <x:v>0.15</x:v>
      </x:c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23" t="str">
        <x:v>Optimus 成功概率</x:v>
      </x:c>
      <x:c r="D34" s="23" t="str">
        <x:v>%</x:v>
      </x:c>
      <x:c r="E34" s="23" t="str">
        <x:v>业务规模实现概率</x:v>
      </x:c>
      <x:c r="F34" s="24" t="n">
        <x:v>0</x:v>
      </x:c>
      <x:c r="G34" s="24" t="n">
        <x:v>0.1</x:v>
      </x:c>
      <x:c r="H34" s="24" t="n">
        <x:v>0.35</x:v>
      </x:c>
      <x:c r="I34" s="25" t="n">
        <x:f>IF($D$3="Bear",F34,IF($D$3="Base",G34,H34))</x:f>
        <x:v>0.1</x:v>
      </x:c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30" t="str">
        <x:v>提示：Bear / Base / Bull 不是公司指引，也不是投资建议。将黄色输入替换为你自己的销量、储能、FSD/Robotaxi/Optimus 假设；DCF Build 与 Summary 会自动更新。</x:v>
      </x:c>
      <x:c r="D37" s="30"/>
      <x:c r="E37" s="30"/>
      <x:c r="F37" s="30"/>
      <x:c r="G37" s="30"/>
      <x:c r="H37" s="30"/>
      <x:c r="I37" s="30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30"/>
      <x:c r="D38" s="30"/>
      <x:c r="E38" s="30"/>
      <x:c r="F38" s="30"/>
      <x:c r="G38" s="30"/>
      <x:c r="H38" s="30"/>
      <x:c r="I38" s="30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C5:I5"/>
    <x:mergeCell ref="C37:I38"/>
  </x:mergeCells>
  <x:dataValidations count="1">
    <x:dataValidation type="list" sqref="D3">
      <x:formula1>"Bear,Base,Bull"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6" hidden="0" customWidth="1"/>
    <x:col min="4" max="4" width="15" hidden="0" customWidth="1"/>
    <x:col min="5" max="5" width="39" hidden="0" customWidth="1"/>
    <x:col min="6" max="6" width="15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8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1"/>
      <x:c r="B2" s="1"/>
      <x:c r="C2" s="3" t="str">
        <x:v>Tesla 分部 DCF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" t="str">
        <x:v>情景选择</x:v>
      </x:c>
      <x:c r="D3" s="33" t="str">
        <x:f>Assumptions!D3</x:f>
        <x:v>Base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2" t="str">
        <x:v>项目</x:v>
      </x:c>
      <x:c r="D5" s="12" t="str">
        <x:v>单位</x:v>
      </x:c>
      <x:c r="E5" s="12" t="str">
        <x:v>说明</x:v>
      </x:c>
      <x:c r="F5" s="12" t="str">
        <x:v>2026E</x:v>
      </x:c>
      <x:c r="G5" s="12" t="str">
        <x:v>2027E</x:v>
      </x:c>
      <x:c r="H5" s="12" t="str">
        <x:v>2028E</x:v>
      </x:c>
      <x:c r="I5" s="12" t="str">
        <x:v>2029E</x:v>
      </x:c>
      <x:c r="J5" s="12" t="str">
        <x:v>2030E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 t="str">
        <x:v>核心汽车+服务收入</x:v>
      </x:c>
      <x:c r="D7" s="1" t="str">
        <x:v>USD m</x:v>
      </x:c>
      <x:c r="E7" s="1" t="str">
        <x:v>含汽车及服务；不含另列的新增期权业务</x:v>
      </x:c>
      <x:c r="F7" s="55" t="n">
        <x:f>Assumptions!I14</x:f>
        <x:v>89688</x:v>
      </x:c>
      <x:c r="G7" s="55" t="n">
        <x:f>F7*(1+Assumptions!$I$15)</x:f>
        <x:v>94172.40000000001</x:v>
      </x:c>
      <x:c r="H7" s="55" t="n">
        <x:f>G7*(1+Assumptions!$I$15)</x:f>
        <x:v>98881.02000000002</x:v>
      </x:c>
      <x:c r="I7" s="55" t="n">
        <x:f>H7*(1+Assumptions!$I$15)</x:f>
        <x:v>103825.07100000003</x:v>
      </x:c>
      <x:c r="J7" s="55" t="n">
        <x:f>I7*(1+Assumptions!$I$15)</x:f>
        <x:v>109016.32455000003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 t="str">
        <x:v>核心 FCF 利润率</x:v>
      </x:c>
      <x:c r="D8" s="1" t="str">
        <x:v>%</x:v>
      </x:c>
      <x:c r="E8" s="1" t="str">
        <x:v>2026 至 2030 线性变化</x:v>
      </x:c>
      <x:c r="F8" s="46" t="n">
        <x:f>Assumptions!I16</x:f>
        <x:v>0.04</x:v>
      </x:c>
      <x:c r="G8" s="46" t="n">
        <x:f>F8+(Assumptions!$I$17-Assumptions!$I$16)/4</x:f>
        <x:v>0.05</x:v>
      </x:c>
      <x:c r="H8" s="46" t="n">
        <x:f>G8+(Assumptions!$I$17-Assumptions!$I$16)/4</x:f>
        <x:v>0.060000000000000005</x:v>
      </x:c>
      <x:c r="I8" s="46" t="n">
        <x:f>H8+(Assumptions!$I$17-Assumptions!$I$16)/4</x:f>
        <x:v>0.07</x:v>
      </x:c>
      <x:c r="J8" s="46" t="n">
        <x:f>I8+(Assumptions!$I$17-Assumptions!$I$16)/4</x:f>
        <x:v>0.08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 t="str">
        <x:v>核心自由现金流</x:v>
      </x:c>
      <x:c r="D9" s="1" t="str">
        <x:v>USD m</x:v>
      </x:c>
      <x:c r="E9" s="1" t="str">
        <x:v>收入 × FCF 利润率</x:v>
      </x:c>
      <x:c r="F9" s="55" t="n">
        <x:f>F7*F8</x:f>
        <x:v>3587.52</x:v>
      </x:c>
      <x:c r="G9" s="55" t="n">
        <x:f>G7*G8</x:f>
        <x:v>4708.620000000001</x:v>
      </x:c>
      <x:c r="H9" s="55" t="n">
        <x:f>H7*H8</x:f>
        <x:v>5932.861200000001</x:v>
      </x:c>
      <x:c r="I9" s="55" t="n">
        <x:f>I7*I8</x:f>
        <x:v>7267.754970000003</x:v>
      </x:c>
      <x:c r="J9" s="55" t="n">
        <x:f>J7*J8</x:f>
        <x:v>8721.305964000003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 t="str">
        <x:v>储能收入</x:v>
      </x:c>
      <x:c r="D11" s="1" t="str">
        <x:v>USD m</x:v>
      </x:c>
      <x:c r="E11" s="1" t="str">
        <x:v>发电与储能业务</x:v>
      </x:c>
      <x:c r="F11" s="55" t="n">
        <x:f>Assumptions!I19</x:f>
        <x:v>15533</x:v>
      </x:c>
      <x:c r="G11" s="55" t="n">
        <x:f>F11*(1+Assumptions!$I$20)</x:f>
        <x:v>18639.6</x:v>
      </x:c>
      <x:c r="H11" s="55" t="n">
        <x:f>G11*(1+Assumptions!$I$20)</x:f>
        <x:v>22367.519999999997</x:v>
      </x:c>
      <x:c r="I11" s="55" t="n">
        <x:f>H11*(1+Assumptions!$I$20)</x:f>
        <x:v>26841.023999999994</x:v>
      </x:c>
      <x:c r="J11" s="55" t="n">
        <x:f>I11*(1+Assumptions!$I$20)</x:f>
        <x:v>32209.22879999999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 t="str">
        <x:v>储能 FCF 利润率</x:v>
      </x:c>
      <x:c r="D12" s="1" t="str">
        <x:v>%</x:v>
      </x:c>
      <x:c r="E12" s="1" t="str">
        <x:v>2026 至 2030 线性变化</x:v>
      </x:c>
      <x:c r="F12" s="46" t="n">
        <x:f>Assumptions!I21</x:f>
        <x:v>0.07</x:v>
      </x:c>
      <x:c r="G12" s="46" t="n">
        <x:f>F12+(Assumptions!$I$22-Assumptions!$I$21)/4</x:f>
        <x:v>0.085</x:v>
      </x:c>
      <x:c r="H12" s="46" t="n">
        <x:f>G12+(Assumptions!$I$22-Assumptions!$I$21)/4</x:f>
        <x:v>0.1</x:v>
      </x:c>
      <x:c r="I12" s="46" t="n">
        <x:f>H12+(Assumptions!$I$22-Assumptions!$I$21)/4</x:f>
        <x:v>0.115</x:v>
      </x:c>
      <x:c r="J12" s="46" t="n">
        <x:f>I12+(Assumptions!$I$22-Assumptions!$I$21)/4</x:f>
        <x:v>0.13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 t="str">
        <x:v>储能自由现金流</x:v>
      </x:c>
      <x:c r="D13" s="1" t="str">
        <x:v>USD m</x:v>
      </x:c>
      <x:c r="E13" s="1" t="str">
        <x:v>收入 × FCF 利润率</x:v>
      </x:c>
      <x:c r="F13" s="55" t="n">
        <x:f>F11*F12</x:f>
        <x:v>1087.3100000000002</x:v>
      </x:c>
      <x:c r="G13" s="55" t="n">
        <x:f>G11*G12</x:f>
        <x:v>1584.366</x:v>
      </x:c>
      <x:c r="H13" s="55" t="n">
        <x:f>H11*H12</x:f>
        <x:v>2236.752</x:v>
      </x:c>
      <x:c r="I13" s="55" t="n">
        <x:f>I11*I12</x:f>
        <x:v>3086.7177599999995</x:v>
      </x:c>
      <x:c r="J13" s="55" t="n">
        <x:f>J11*J12</x:f>
        <x:v>4187.199743999999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 t="str">
        <x:v>FSD 增量收入</x:v>
      </x:c>
      <x:c r="D15" s="1" t="str">
        <x:v>USD m</x:v>
      </x:c>
      <x:c r="E15" s="1" t="str">
        <x:v>按 10% / 30% / 60% / 100% 逐年爬坡</x:v>
      </x:c>
      <x:c r="F15" s="55" t="n">
        <x:v>0</x:v>
      </x:c>
      <x:c r="G15" s="55" t="n">
        <x:f>Assumptions!I24*10%</x:f>
        <x:v>1000</x:v>
      </x:c>
      <x:c r="H15" s="55" t="n">
        <x:f>Assumptions!I24*30%</x:f>
        <x:v>3000</x:v>
      </x:c>
      <x:c r="I15" s="55" t="n">
        <x:f>Assumptions!I24*60%</x:f>
        <x:v>6000</x:v>
      </x:c>
      <x:c r="J15" s="55" t="n">
        <x:f>Assumptions!I24</x:f>
        <x:v>10000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 t="str">
        <x:v>FSD FCF 利润率</x:v>
      </x:c>
      <x:c r="D16" s="1" t="str">
        <x:v>%</x:v>
      </x:c>
      <x:c r="E16" s="1" t="str">
        <x:v>成熟期利润率；概率已在下一行处理</x:v>
      </x:c>
      <x:c r="F16" s="46" t="n">
        <x:f>Assumptions!$I$25</x:f>
        <x:v>0.55</x:v>
      </x:c>
      <x:c r="G16" s="46" t="n">
        <x:f>Assumptions!$I$25</x:f>
        <x:v>0.55</x:v>
      </x:c>
      <x:c r="H16" s="46" t="n">
        <x:f>Assumptions!$I$25</x:f>
        <x:v>0.55</x:v>
      </x:c>
      <x:c r="I16" s="46" t="n">
        <x:f>Assumptions!$I$25</x:f>
        <x:v>0.55</x:v>
      </x:c>
      <x:c r="J16" s="46" t="n">
        <x:f>Assumptions!$I$25</x:f>
        <x:v>0.55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 t="str">
        <x:v>FSD 风险调整后 FCF</x:v>
      </x:c>
      <x:c r="D17" s="1" t="str">
        <x:v>USD m</x:v>
      </x:c>
      <x:c r="E17" s="1" t="str">
        <x:v>收入 × FCF 利润率 × 成功概率</x:v>
      </x:c>
      <x:c r="F17" s="55" t="n">
        <x:f>F15*F16*Assumptions!$I$26</x:f>
        <x:v>0</x:v>
      </x:c>
      <x:c r="G17" s="55" t="n">
        <x:f>G15*G16*Assumptions!$I$26</x:f>
        <x:v>550</x:v>
      </x:c>
      <x:c r="H17" s="55" t="n">
        <x:f>H15*H16*Assumptions!$I$26</x:f>
        <x:v>1650.0000000000002</x:v>
      </x:c>
      <x:c r="I17" s="55" t="n">
        <x:f>I15*I16*Assumptions!$I$26</x:f>
        <x:v>3300.0000000000005</x:v>
      </x:c>
      <x:c r="J17" s="55" t="n">
        <x:f>J15*J16*Assumptions!$I$26</x:f>
        <x:v>5500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 t="str">
        <x:v>Robotaxi 收入</x:v>
      </x:c>
      <x:c r="D19" s="1" t="str">
        <x:v>USD m</x:v>
      </x:c>
      <x:c r="E19" s="1" t="str">
        <x:v>按 10% / 30% / 60% / 100% 逐年爬坡</x:v>
      </x:c>
      <x:c r="F19" s="55" t="n">
        <x:v>0</x:v>
      </x:c>
      <x:c r="G19" s="55" t="n">
        <x:f>Assumptions!I28*10%</x:f>
        <x:v>1500</x:v>
      </x:c>
      <x:c r="H19" s="55" t="n">
        <x:f>Assumptions!I28*30%</x:f>
        <x:v>4500</x:v>
      </x:c>
      <x:c r="I19" s="55" t="n">
        <x:f>Assumptions!I28*60%</x:f>
        <x:v>9000</x:v>
      </x:c>
      <x:c r="J19" s="55" t="n">
        <x:f>Assumptions!I28</x:f>
        <x:v>15000</x:v>
      </x:c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 t="str">
        <x:v>Robotaxi FCF 利润率</x:v>
      </x:c>
      <x:c r="D20" s="1" t="str">
        <x:v>%</x:v>
      </x:c>
      <x:c r="E20" s="1" t="str">
        <x:v>成熟期利润率；概率已在下一行处理</x:v>
      </x:c>
      <x:c r="F20" s="46" t="n">
        <x:f>Assumptions!$I$29</x:f>
        <x:v>0.2</x:v>
      </x:c>
      <x:c r="G20" s="46" t="n">
        <x:f>Assumptions!$I$29</x:f>
        <x:v>0.2</x:v>
      </x:c>
      <x:c r="H20" s="46" t="n">
        <x:f>Assumptions!$I$29</x:f>
        <x:v>0.2</x:v>
      </x:c>
      <x:c r="I20" s="46" t="n">
        <x:f>Assumptions!$I$29</x:f>
        <x:v>0.2</x:v>
      </x:c>
      <x:c r="J20" s="46" t="n">
        <x:f>Assumptions!$I$29</x:f>
        <x:v>0.2</x:v>
      </x:c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 t="str">
        <x:v>Robotaxi 风险调整后 FCF</x:v>
      </x:c>
      <x:c r="D21" s="1" t="str">
        <x:v>USD m</x:v>
      </x:c>
      <x:c r="E21" s="1" t="str">
        <x:v>收入 × FCF 利润率 × 成功概率</x:v>
      </x:c>
      <x:c r="F21" s="55" t="n">
        <x:f>F19*F20*Assumptions!$I$30</x:f>
        <x:v>0</x:v>
      </x:c>
      <x:c r="G21" s="55" t="n">
        <x:f>G19*G20*Assumptions!$I$30</x:f>
        <x:v>75</x:v>
      </x:c>
      <x:c r="H21" s="55" t="n">
        <x:f>H19*H20*Assumptions!$I$30</x:f>
        <x:v>225</x:v>
      </x:c>
      <x:c r="I21" s="55" t="n">
        <x:f>I19*I20*Assumptions!$I$30</x:f>
        <x:v>450</x:v>
      </x:c>
      <x:c r="J21" s="55" t="n">
        <x:f>J19*J20*Assumptions!$I$30</x:f>
        <x:v>750</x:v>
      </x:c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 t="str">
        <x:v>Optimus 收入</x:v>
      </x:c>
      <x:c r="D23" s="1" t="str">
        <x:v>USD m</x:v>
      </x:c>
      <x:c r="E23" s="1" t="str">
        <x:v>按 10% / 30% / 60% / 100% 逐年爬坡</x:v>
      </x:c>
      <x:c r="F23" s="55" t="n">
        <x:v>0</x:v>
      </x:c>
      <x:c r="G23" s="55" t="n">
        <x:f>Assumptions!I32*10%</x:f>
        <x:v>500</x:v>
      </x:c>
      <x:c r="H23" s="55" t="n">
        <x:f>Assumptions!I32*30%</x:f>
        <x:v>1500</x:v>
      </x:c>
      <x:c r="I23" s="55" t="n">
        <x:f>Assumptions!I32*60%</x:f>
        <x:v>3000</x:v>
      </x:c>
      <x:c r="J23" s="55" t="n">
        <x:f>Assumptions!I32</x:f>
        <x:v>5000</x:v>
      </x:c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 t="str">
        <x:v>Optimus FCF 利润率</x:v>
      </x:c>
      <x:c r="D24" s="1" t="str">
        <x:v>%</x:v>
      </x:c>
      <x:c r="E24" s="1" t="str">
        <x:v>成熟期利润率；概率已在下一行处理</x:v>
      </x:c>
      <x:c r="F24" s="46" t="n">
        <x:f>Assumptions!$I$33</x:f>
        <x:v>0.15</x:v>
      </x:c>
      <x:c r="G24" s="46" t="n">
        <x:f>Assumptions!$I$33</x:f>
        <x:v>0.15</x:v>
      </x:c>
      <x:c r="H24" s="46" t="n">
        <x:f>Assumptions!$I$33</x:f>
        <x:v>0.15</x:v>
      </x:c>
      <x:c r="I24" s="46" t="n">
        <x:f>Assumptions!$I$33</x:f>
        <x:v>0.15</x:v>
      </x:c>
      <x:c r="J24" s="46" t="n">
        <x:f>Assumptions!$I$33</x:f>
        <x:v>0.15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 t="str">
        <x:v>Optimus 风险调整后 FCF</x:v>
      </x:c>
      <x:c r="D25" s="1" t="str">
        <x:v>USD m</x:v>
      </x:c>
      <x:c r="E25" s="1" t="str">
        <x:v>收入 × FCF 利润率 × 成功概率</x:v>
      </x:c>
      <x:c r="F25" s="55" t="n">
        <x:f>F23*F24*Assumptions!$I$34</x:f>
        <x:v>0</x:v>
      </x:c>
      <x:c r="G25" s="55" t="n">
        <x:f>G23*G24*Assumptions!$I$34</x:f>
        <x:v>7.5</x:v>
      </x:c>
      <x:c r="H25" s="55" t="n">
        <x:f>H23*H24*Assumptions!$I$34</x:f>
        <x:v>22.5</x:v>
      </x:c>
      <x:c r="I25" s="55" t="n">
        <x:f>I23*I24*Assumptions!$I$34</x:f>
        <x:v>45</x:v>
      </x:c>
      <x:c r="J25" s="55" t="n">
        <x:f>J23*J24*Assumptions!$I$34</x:f>
        <x:v>75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60" t="str">
        <x:v>总自由现金流</x:v>
      </x:c>
      <x:c r="D27" s="60" t="str">
        <x:v>USD m</x:v>
      </x:c>
      <x:c r="E27" s="60" t="str">
        <x:v>各分部风险调整后 FCF 之和</x:v>
      </x:c>
      <x:c r="F27" s="61" t="n">
        <x:f>SUM(F9,F13,F17,F21,F25)</x:f>
        <x:v>4674.83</x:v>
      </x:c>
      <x:c r="G27" s="61" t="n">
        <x:f>SUM(G9,G13,G17,G21,G25)</x:f>
        <x:v>6925.486000000001</x:v>
      </x:c>
      <x:c r="H27" s="61" t="n">
        <x:f>SUM(H9,H13,H17,H21,H25)</x:f>
        <x:v>10067.113200000002</x:v>
      </x:c>
      <x:c r="I27" s="61" t="n">
        <x:f>SUM(I9,I13,I17,I21,I25)</x:f>
        <x:v>14149.472730000001</x:v>
      </x:c>
      <x:c r="J27" s="61" t="n">
        <x:f>SUM(J9,J13,J17,J21,J25)</x:f>
        <x:v>19233.505708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 t="str">
        <x:v>折现系数</x:v>
      </x:c>
      <x:c r="D28" s="1" t="str">
        <x:v>x</x:v>
      </x:c>
      <x:c r="E28" s="1" t="str">
        <x:v>2026E 为估值起点，故不纳入未来现金流</x:v>
      </x:c>
      <x:c r="F28" s="46" t="n">
        <x:v>0</x:v>
      </x:c>
      <x:c r="G28" s="46" t="n">
        <x:f>1/(1+Assumptions!I11)^1</x:f>
        <x:v>0.9090909090909091</x:v>
      </x:c>
      <x:c r="H28" s="46" t="n">
        <x:f>1/(1+Assumptions!I11)^2</x:f>
        <x:v>0.8264462809917354</x:v>
      </x:c>
      <x:c r="I28" s="46" t="n">
        <x:f>1/(1+Assumptions!I11)^3</x:f>
        <x:v>0.7513148009015775</x:v>
      </x:c>
      <x:c r="J28" s="46" t="n">
        <x:f>1/(1+Assumptions!I11)^4</x:f>
        <x:v>0.6830134553650705</x:v>
      </x:c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 t="str">
        <x:v>折现后 FCF</x:v>
      </x:c>
      <x:c r="D29" s="1" t="str">
        <x:v>USD m</x:v>
      </x:c>
      <x:c r="E29" s="1" t="str">
        <x:v>总 FCF × 折现系数</x:v>
      </x:c>
      <x:c r="F29" s="55" t="n">
        <x:f>F27*F28</x:f>
        <x:v>0</x:v>
      </x:c>
      <x:c r="G29" s="55" t="n">
        <x:f>G27*G28</x:f>
        <x:v>6295.896363636364</x:v>
      </x:c>
      <x:c r="H29" s="55" t="n">
        <x:f>H27*H28</x:f>
        <x:v>8319.928264462811</x:v>
      </x:c>
      <x:c r="I29" s="55" t="n">
        <x:f>I27*I28</x:f>
        <x:v>10630.708287002251</x:v>
      </x:c>
      <x:c r="J29" s="55" t="n">
        <x:f>J27*J28</x:f>
        <x:v>13136.743192404887</x:v>
      </x:c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39" t="str">
        <x:v>分部价值：预测期 FCF + Gordon Growth Terminal Value</x:v>
      </x:c>
      <x:c r="D31" s="40"/>
      <x:c r="E31" s="40"/>
      <x:c r="F31" s="40"/>
      <x:c r="G31" s="40"/>
      <x:c r="H31" s="40"/>
      <x:c r="I31" s="40"/>
      <x:c r="J31" s="4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 t="str">
        <x:v>核心汽车+服务 PV</x:v>
      </x:c>
      <x:c r="D32" s="1" t="str">
        <x:v>USD m</x:v>
      </x:c>
      <x:c r="E32" s="55" t="n">
        <x:f>G9*G$28+H9*H$28+I9*I$28+J9*J$28+J9*(1+Assumptions!I12)/(Assumptions!I11-Assumptions!I12)*J$28</x:f>
        <x:v>108250.50164537941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 t="str">
        <x:v>储能 PV</x:v>
      </x:c>
      <x:c r="D33" s="1" t="str">
        <x:v>USD m</x:v>
      </x:c>
      <x:c r="E33" s="55" t="n">
        <x:f>G13*G$28+H13*H$28+I13*I$28+J13*J$28+J13*(1+Assumptions!I12)/(Assumptions!I11-Assumptions!I12)*J$28</x:f>
        <x:v>50549.48686701726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 t="str">
        <x:v>FSD 增量 PV</x:v>
      </x:c>
      <x:c r="D34" s="1" t="str">
        <x:v>USD m</x:v>
      </x:c>
      <x:c r="E34" s="55" t="n">
        <x:f>G17*G$28+H17*H$28+I17*I$28+J17*J$28+J17*(1+Assumptions!I12)/(Assumptions!I11-Assumptions!I12)*J$28</x:f>
        <x:v>63374.85242030694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 t="str">
        <x:v>Robotaxi PV</x:v>
      </x:c>
      <x:c r="D35" s="1" t="str">
        <x:v>USD m</x:v>
      </x:c>
      <x:c r="E35" s="55" t="n">
        <x:f>G21*G$28+H21*H$28+I21*I$28+J21*J$28+J21*(1+Assumptions!I12)/(Assumptions!I11-Assumptions!I12)*J$28</x:f>
        <x:v>8642.025330041855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 t="str">
        <x:v>Optimus PV</x:v>
      </x:c>
      <x:c r="D36" s="1" t="str">
        <x:v>USD m</x:v>
      </x:c>
      <x:c r="E36" s="55" t="n">
        <x:f>G25*G$28+H25*H$28+I25*I$28+J25*J$28+J25*(1+Assumptions!I12)/(Assumptions!I11-Assumptions!I12)*J$28</x:f>
        <x:v>864.2025330041856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58" t="str">
        <x:v>企业价值</x:v>
      </x:c>
      <x:c r="D37" s="58" t="str">
        <x:v>USD m</x:v>
      </x:c>
      <x:c r="E37" s="59" t="n">
        <x:f>SUM(E32:E36)</x:f>
        <x:v>231681.06879574966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58" t="str">
        <x:v>净现金</x:v>
      </x:c>
      <x:c r="D38" s="58" t="str">
        <x:v>USD m</x:v>
      </x:c>
      <x:c r="E38" s="59" t="n">
        <x:f>Assumptions!D6</x:f>
        <x:v>34182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58" t="str">
        <x:v>股权价值</x:v>
      </x:c>
      <x:c r="D39" s="58" t="str">
        <x:v>USD m</x:v>
      </x:c>
      <x:c r="E39" s="59" t="n">
        <x:f>E37+E38</x:f>
        <x:v>265863.0687957497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55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 t="str">
        <x:v>稀释后股数</x:v>
      </x:c>
      <x:c r="D41" s="1" t="str">
        <x:v>m shares</x:v>
      </x:c>
      <x:c r="E41" s="55" t="n">
        <x:f>Assumptions!D7</x:f>
        <x:v>3949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4" t="str">
        <x:v>每股内在价值</x:v>
      </x:c>
      <x:c r="D42" s="14" t="str">
        <x:v>USD / share</x:v>
      </x:c>
      <x:c r="E42" s="63" t="n">
        <x:f>E39/E41</x:f>
        <x:v>67.3241501128766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C31:J3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3E7D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28" hidden="0" customWidth="1"/>
    <x:col min="4" max="4" width="25" hidden="0" customWidth="1"/>
    <x:col min="5" max="5" width="20" hidden="0" customWidth="1"/>
    <x:col min="6" max="6" width="30" hidden="0" customWidth="1"/>
    <x:col min="7" max="7" width="56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8" customHeight="1">
      <x:c r="A1" s="1"/>
      <x:c r="B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1"/>
      <x:c r="B2" s="1"/>
      <x:c r="C2" s="3" t="str">
        <x:v>来源与口径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" t="str">
        <x:v>原始值、市场数据与模型输入来源。所有金额除非特别说明均为 USD millions。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2" t="str">
        <x:v>输入 / 指标</x:v>
      </x:c>
      <x:c r="D4" s="12" t="str">
        <x:v>数值</x:v>
      </x:c>
      <x:c r="E4" s="12" t="str">
        <x:v>数据截止 / 日期</x:v>
      </x:c>
      <x:c r="F4" s="12" t="str">
        <x:v>来源</x:v>
      </x:c>
      <x:c r="G4" s="12" t="str">
        <x:v>链接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 t="str">
        <x:v>FY2025 收入</x:v>
      </x:c>
      <x:c r="D5" s="55" t="n">
        <x:v>94827</x:v>
      </x:c>
      <x:c r="E5" s="1" t="str">
        <x:v>FY2025</x:v>
      </x:c>
      <x:c r="F5" s="1" t="str">
        <x:v>Tesla 2025 Form 10-K</x:v>
      </x:c>
      <x:c r="G5" s="1" t="str">
        <x:v>https://ir.tesla.com/_flysystem/s3/sec/000162828026003952/tsla-20251231-gen.pdf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 t="str">
        <x:v>FY2025 归母净利润</x:v>
      </x:c>
      <x:c r="D6" s="55" t="n">
        <x:v>3794</x:v>
      </x:c>
      <x:c r="E6" s="1" t="str">
        <x:v>FY2025</x:v>
      </x:c>
      <x:c r="F6" s="1" t="str">
        <x:v>Tesla 2025 Form 10-K</x:v>
      </x:c>
      <x:c r="G6" s="1" t="str">
        <x:v>https://ir.tesla.com/_flysystem/s3/sec/000162828026003952/tsla-20251231-gen.pdf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 t="str">
        <x:v>FY2025 自由现金流</x:v>
      </x:c>
      <x:c r="D7" s="55" t="n">
        <x:v>6220</x:v>
      </x:c>
      <x:c r="E7" s="1" t="str">
        <x:v>FY2025</x:v>
      </x:c>
      <x:c r="F7" s="1" t="str">
        <x:v>Tesla 2025 Form 10-K；CFO − capex</x:v>
      </x:c>
      <x:c r="G7" s="1" t="str">
        <x:v>https://ir.tesla.com/_flysystem/s3/sec/000162828026003952/tsla-20251231-gen.pdf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 t="str">
        <x:v>净现金</x:v>
      </x:c>
      <x:c r="D8" s="55" t="n">
        <x:v>34182</x:v>
      </x:c>
      <x:c r="E8" s="1" t="str">
        <x:v>2026Q2</x:v>
      </x:c>
      <x:c r="F8" s="1" t="str">
        <x:v>Tesla 2026 Q2 Form 10-Q；现金及短期投资 − 债务及融资租赁</x:v>
      </x:c>
      <x:c r="G8" s="1" t="str">
        <x:v>https://ir.tesla.com/_flysystem/s3/sec/000162828026049270/tsla-20260630-gen.pdf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 t="str">
        <x:v>稀释后股数</x:v>
      </x:c>
      <x:c r="D9" s="55" t="n">
        <x:v>3949</x:v>
      </x:c>
      <x:c r="E9" s="1" t="str">
        <x:v>2026Q2</x:v>
      </x:c>
      <x:c r="F9" s="1" t="str">
        <x:v>Tesla 2026 Q2 Form 10-Q</x:v>
      </x:c>
      <x:c r="G9" s="1" t="str">
        <x:v>https://ir.tesla.com/_flysystem/s3/sec/000162828026049270/tsla-20260630-gen.pdf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 t="str">
        <x:v>股价 / 市值 / TTM EPS</x:v>
      </x:c>
      <x:c r="D10" s="1" t="str">
        <x:v>365.44 / 1,293,658 / 1.08</x:v>
      </x:c>
      <x:c r="E10" s="1" t="str">
        <x:v>2026-09-12</x:v>
      </x:c>
      <x:c r="F10" s="1" t="str">
        <x:v>Yahoo Finance market quote（收盘后数据）</x:v>
      </x:c>
      <x:c r="G10" s="1" t="str">
        <x:v>https://finance.yahoo.com/quote/TSLA/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 t="str">
        <x:v>2026E 汽车 / 储能 / 服务收入</x:v>
      </x:c>
      <x:c r="D11" s="1" t="str">
        <x:v>74,295 / 15,533 / 15,393</x:v>
      </x:c>
      <x:c r="E11" s="1" t="str">
        <x:v>2026Q2 consensus</x:v>
      </x:c>
      <x:c r="F11" s="1" t="str">
        <x:v>Tesla 发布的分析师一致预期汇总</x:v>
      </x:c>
      <x:c r="G11" s="1" t="str">
        <x:v>https://ir.tesla.com/press-release/earnings-consensus-second-quarter-2026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 t="str">
        <x:v>模型预测输入</x:v>
      </x:c>
      <x:c r="D12" s="1" t="str">
        <x:v>见 Assumptions</x:v>
      </x:c>
      <x:c r="E12" s="1" t="str">
        <x:v>2027–2030</x:v>
      </x:c>
      <x:c r="F12" s="1" t="str">
        <x:v>作者假设，非 Tesla 指引；应由使用者自行修改</x:v>
      </x:c>
      <x:c r="G12" s="1" t="str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56" t="str">
        <x:v>方法：分部 DCF 使用 2027–2030 年风险调整后自由现金流，并以 Gordon Growth 法计算 2030 年后的终值。FSD 为核心业务以外的增量收入；Robotaxi 和 Optimus 从零开始，按成功概率加权。模型不构成投资建议，最重要的敏感参数是可持续 FCF 利润率、WACC、Robotaxi/Optimus 的收入规模和成功概率。</x:v>
      </x:c>
      <x:c r="D14" s="56"/>
      <x:c r="E14" s="56"/>
      <x:c r="F14" s="56"/>
      <x:c r="G14" s="56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56"/>
      <x:c r="D15" s="56"/>
      <x:c r="E15" s="56"/>
      <x:c r="F15" s="56"/>
      <x:c r="G15" s="56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56"/>
      <x:c r="D16" s="56"/>
      <x:c r="E16" s="56"/>
      <x:c r="F16" s="56"/>
      <x:c r="G16" s="56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C14:G16"/>
  </x:mergeCells>
  <x:pageMargins left="0.7" right="0.7" top="0.75" bottom="0.75" header="0.3" footer="0.3"/>
</x:worksheet>
</file>