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9809766fe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60" sheetId="1" r:id="R5249766e27ea43f8"/>
    <x:sheet xmlns:r="http://schemas.openxmlformats.org/officeDocument/2006/relationships" name="Summary" sheetId="2" r:id="R40080e49b5504c74"/>
    <x:sheet xmlns:r="http://schemas.openxmlformats.org/officeDocument/2006/relationships" name="Methodology" sheetId="3" r:id="Rab603fdff51d4aa8"/>
    <x:sheet xmlns:r="http://schemas.openxmlformats.org/officeDocument/2006/relationships" name="HQ_Benchmark_14" sheetId="4" r:id="Rcf08c2d2f13345ae"/>
    <x:sheet xmlns:r="http://schemas.openxmlformats.org/officeDocument/2006/relationships" name="Layer_Comparison" sheetId="5" r:id="R13315d24c47a4327"/>
    <x:sheet xmlns:r="http://schemas.openxmlformats.org/officeDocument/2006/relationships" name="Jobs_Crosscheck" sheetId="6" r:id="R2c839a3594e04d45"/>
    <x:sheet xmlns:r="http://schemas.openxmlformats.org/officeDocument/2006/relationships" name="Research_Notes_v2" sheetId="7" r:id="Ree33798feaef451c"/>
    <x:sheet xmlns:r="http://schemas.openxmlformats.org/officeDocument/2006/relationships" name="Neutral_Edit_60" sheetId="8" r:id="Rb893a613126747ad"/>
    <x:sheet xmlns:r="http://schemas.openxmlformats.org/officeDocument/2006/relationships" name="Neutral_Summary" sheetId="9" r:id="R12e58114271540d4"/>
    <x:sheet xmlns:r="http://schemas.openxmlformats.org/officeDocument/2006/relationships" name="AI_vs_Traditional" sheetId="10" r:id="Rf05513b8ea3b4431"/>
    <x:sheet xmlns:r="http://schemas.openxmlformats.org/officeDocument/2006/relationships" name="Method_v3" sheetId="11" r:id="R2e42bb5ae712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%"/>
    <x:numFmt numFmtId="203" formatCode="0.0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8"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ad537f9b54d49" /><Relationship Type="http://schemas.openxmlformats.org/officeDocument/2006/relationships/theme" Target="/xl/theme/theme1.xml" Id="R783b03b53d6f425c" /><Relationship Type="http://schemas.openxmlformats.org/officeDocument/2006/relationships/sharedStrings" Target="/xl/sharedStrings.xml" Id="R8395e09076eb453f" /><Relationship Type="http://schemas.openxmlformats.org/officeDocument/2006/relationships/worksheet" Target="/xl/worksheets/sheet1.xml" Id="R5249766e27ea43f8" /><Relationship Type="http://schemas.openxmlformats.org/officeDocument/2006/relationships/worksheet" Target="/xl/worksheets/sheet2.xml" Id="R40080e49b5504c74" /><Relationship Type="http://schemas.openxmlformats.org/officeDocument/2006/relationships/worksheet" Target="/xl/worksheets/sheet3.xml" Id="Rab603fdff51d4aa8" /><Relationship Type="http://schemas.openxmlformats.org/officeDocument/2006/relationships/worksheet" Target="/xl/worksheets/sheet4.xml" Id="Rcf08c2d2f13345ae" /><Relationship Type="http://schemas.openxmlformats.org/officeDocument/2006/relationships/worksheet" Target="/xl/worksheets/sheet5.xml" Id="R13315d24c47a4327" /><Relationship Type="http://schemas.openxmlformats.org/officeDocument/2006/relationships/worksheet" Target="/xl/worksheets/sheet6.xml" Id="R2c839a3594e04d45" /><Relationship Type="http://schemas.openxmlformats.org/officeDocument/2006/relationships/worksheet" Target="/xl/worksheets/sheet7.xml" Id="Ree33798feaef451c" /><Relationship Type="http://schemas.openxmlformats.org/officeDocument/2006/relationships/worksheet" Target="/xl/worksheets/sheet8.xml" Id="Rb893a613126747ad" /><Relationship Type="http://schemas.openxmlformats.org/officeDocument/2006/relationships/worksheet" Target="/xl/worksheets/sheet9.xml" Id="R12e58114271540d4" /><Relationship Type="http://schemas.openxmlformats.org/officeDocument/2006/relationships/worksheet" Target="/xl/worksheets/sheet10.xml" Id="Rf05513b8ea3b4431" /><Relationship Type="http://schemas.openxmlformats.org/officeDocument/2006/relationships/worksheet" Target="/xl/worksheets/sheet11.xml" Id="R2e42bb5ae71240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324c5623e145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46ac5d256e34ab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52a051c67cd4e3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4438b9cb4ec4b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显性后期工具：样本播放量暴露占比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View_share</c:v>
          </c:tx>
          <c:cat>
            <c:strRef>
              <c:f>'Summary'!$H$10:$H$15</c:f>
              <c:strCache>
                <c:ptCount val="0"/>
              </c:strCache>
            </c:strRef>
          </c:cat>
          <c:val>
            <c:numRef>
              <c:f>'Summary'!$I$10:$I$15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专业后期高播放教程基准：软件播放量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Views</c:v>
          </c:tx>
          <c:cat>
            <c:strRef>
              <c:f>'Layer_Comparison'!$J$5:$J$10</c:f>
              <c:strCache>
                <c:ptCount val="0"/>
              </c:strCache>
            </c:strRef>
          </c:cat>
          <c:val>
            <c:numRef>
              <c:f>'Layer_Comparison'!$K$5:$K$10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传统剪辑教程：主要编辑器的样本播放暴露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View_share</c:v>
          </c:tx>
          <c:cat>
            <c:strRef>
              <c:f>'Neutral_Summary'!$H$19:$H$26</c:f>
              <c:strCache>
                <c:ptCount val="0"/>
              </c:strCache>
            </c:strRef>
          </c:cat>
          <c:val>
            <c:numRef>
              <c:f>'Neutral_Summary'!$I$19:$I$26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教程播放暴露：AI层与传统剪辑层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Adobe</c:v>
          </c:tx>
          <c:cat>
            <c:strRef>
              <c:f>'AI_vs_Traditional'!$J$5:$J$8</c:f>
              <c:strCache>
                <c:ptCount val="0"/>
              </c:strCache>
            </c:strRef>
          </c:cat>
          <c:val>
            <c:numRef>
              <c:f>'AI_vs_Traditional'!$K$5:$K$8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ByteDance</c:v>
          </c:tx>
          <c:cat>
            <c:strRef>
              <c:f>'AI_vs_Traditional'!$J$5:$J$8</c:f>
              <c:strCache>
                <c:ptCount val="0"/>
              </c:strCache>
            </c:strRef>
          </c:cat>
          <c:val>
            <c:numRef>
              <c:f>'AI_vs_Traditional'!$L$5:$L$8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Premiere</c:v>
          </c:tx>
          <c:cat>
            <c:strRef>
              <c:f>'AI_vs_Traditional'!$J$5:$J$8</c:f>
              <c:strCache>
                <c:ptCount val="0"/>
              </c:strCache>
            </c:strRef>
          </c:cat>
          <c:val>
            <c:numRef>
              <c:f>'AI_vs_Traditional'!$M$5:$M$8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324c5623e1456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6ac5d256e34ab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17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2a051c67cd4e3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10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438b9cb4ec4b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xedSample60" displayName="FixedSample60" ref="A1:U61" headerRowCount="1" totalsRowCount="0" totalsRowShown="0">
  <x:tableColumns count="21">
    <x:tableColumn id="1" name="Platform"/>
    <x:tableColumn id="2" name="Rank_in_fixed_sample"/>
    <x:tableColumn id="3" name="Observed_views"/>
    <x:tableColumn id="4" name="Observed_display"/>
    <x:tableColumn id="5" name="Count_precision"/>
    <x:tableColumn id="6" name="Title"/>
    <x:tableColumn id="7" name="Video_ID"/>
    <x:tableColumn id="8" name="Video_URL"/>
    <x:tableColumn id="9" name="Explicit_generation_tools"/>
    <x:tableColumn id="10" name="Explicit_final_editor_or_NLE"/>
    <x:tableColumn id="11" name="Jianying_explicit"/>
    <x:tableColumn id="12" name="CapCut_explicit"/>
    <x:tableColumn id="13" name="Premiere_explicit"/>
    <x:tableColumn id="14" name="AfterEffects_explicit"/>
    <x:tableColumn id="15" name="DaVinci_explicit"/>
    <x:tableColumn id="16" name="Clipchamp_explicit"/>
    <x:tableColumn id="17" name="Adobe_any_explicit"/>
    <x:tableColumn id="18" name="Editor_evidence"/>
    <x:tableColumn id="19" name="Count_source_URL"/>
    <x:tableColumn id="20" name="Editor_evidence_URL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QBenchmark14" displayName="HQBenchmark14" ref="A1:K15" headerRowCount="1" totalsRowCount="0" totalsRowShown="0">
  <x:tableColumns count="11">
    <x:tableColumn id="1" name="Platform"/>
    <x:tableColumn id="2" name="Observed_views"/>
    <x:tableColumn id="3" name="Observed_display"/>
    <x:tableColumn id="4" name="Tutorial_Title"/>
    <x:tableColumn id="5" name="Explicit_Software"/>
    <x:tableColumn id="6" name="Software_Family"/>
    <x:tableColumn id="7" name="Pipeline_Role"/>
    <x:tableColumn id="8" name="Direct_URL"/>
    <x:tableColumn id="9" name="Count_Source_URL"/>
    <x:tableColumn id="10" name="Evidence_Quality"/>
    <x:tableColumn id="11" name="Interpretatio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bsCrosscheck" displayName="JobsCrosscheck" ref="A1:G7" headerRowCount="1" totalsRowCount="0" totalsRowShown="0">
  <x:tableColumns count="7">
    <x:tableColumn id="1" name="Region/Org"/>
    <x:tableColumn id="2" name="Role"/>
    <x:tableColumn id="3" name="Content_Type"/>
    <x:tableColumn id="4" name="Explicit_Tools"/>
    <x:tableColumn id="5" name="Quality/Longform_Signal"/>
    <x:tableColumn id="6" name="Source_URL"/>
    <x:tableColumn id="7" name="Evidence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utralEdit60" displayName="NeutralEdit60" ref="A1:V61" headerRowCount="1" totalsRowCount="0" totalsRowShown="0">
  <x:tableColumns count="22">
    <x:tableColumn id="1" name="Platform"/>
    <x:tableColumn id="2" name="Rank_in_platform"/>
    <x:tableColumn id="3" name="Observed_views"/>
    <x:tableColumn id="4" name="Observed_display"/>
    <x:tableColumn id="5" name="Tutorial_Title"/>
    <x:tableColumn id="6" name="Primary_Editor"/>
    <x:tableColumn id="7" name="Software_Family"/>
    <x:tableColumn id="8" name="Tool_Tier"/>
    <x:tableColumn id="9" name="Premiere_explicit"/>
    <x:tableColumn id="10" name="AfterEffects_adjacent"/>
    <x:tableColumn id="11" name="Adobe_NLE"/>
    <x:tableColumn id="12" name="Adobe_Any"/>
    <x:tableColumn id="13" name="ByteDance_Editor"/>
    <x:tableColumn id="14" name="Platform_Native_Editor"/>
    <x:tableColumn id="15" name="Resolved_Specific_Editor"/>
    <x:tableColumn id="16" name="Adjacent_Tools"/>
    <x:tableColumn id="17" name="Neutral_Discovery_Query"/>
    <x:tableColumn id="18" name="Tutorial_or_Search_URL"/>
    <x:tableColumn id="19" name="Count_Evidence_URL"/>
    <x:tableColumn id="20" name="Count_Evidence_Type"/>
    <x:tableColumn id="21" name="Tool_Evidence_Quality"/>
    <x:tableColumn id="2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bd1edd318645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a5dbb24b30c4e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f07c1876d9744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e285f7dbf0344a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4a78ffd4d8f40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031730241b4249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c31f6920653841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95f69e8e41d5476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4" hidden="0" customWidth="1"/>
    <x:col min="4" max="4" width="12" hidden="0" customWidth="1"/>
    <x:col min="5" max="5" width="16" hidden="0" customWidth="1"/>
    <x:col min="6" max="6" width="46" hidden="0" customWidth="1"/>
    <x:col min="7" max="7" width="16" hidden="0" customWidth="1"/>
    <x:col min="8" max="8" width="38" hidden="0" customWidth="1"/>
    <x:col min="9" max="9" width="26" hidden="0" customWidth="1"/>
    <x:col min="10" max="10" width="28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2" hidden="0" customWidth="1"/>
    <x:col min="16" max="16" width="13" hidden="0" customWidth="1"/>
    <x:col min="17" max="17" width="13" hidden="0" customWidth="1"/>
    <x:col min="18" max="18" width="18" hidden="0" customWidth="1"/>
    <x:col min="19" max="19" width="38" hidden="0" customWidth="1"/>
    <x:col min="20" max="20" width="38" hidden="0" customWidth="1"/>
    <x:col min="21" max="21" width="44" hidden="0" customWidth="1"/>
  </x:cols>
  <x:sheetData>
    <x:row r="1">
      <x:c r="A1" s="14" t="str">
        <x:v>Platform</x:v>
      </x:c>
      <x:c r="B1" s="14" t="str">
        <x:v>Rank_in_fixed_sample</x:v>
      </x:c>
      <x:c r="C1" s="14" t="str">
        <x:v>Observed_views</x:v>
      </x:c>
      <x:c r="D1" s="14" t="str">
        <x:v>Observed_display</x:v>
      </x:c>
      <x:c r="E1" s="14" t="str">
        <x:v>Count_precision</x:v>
      </x:c>
      <x:c r="F1" s="14" t="str">
        <x:v>Title</x:v>
      </x:c>
      <x:c r="G1" s="14" t="str">
        <x:v>Video_ID</x:v>
      </x:c>
      <x:c r="H1" s="14" t="str">
        <x:v>Video_URL</x:v>
      </x:c>
      <x:c r="I1" s="14" t="str">
        <x:v>Explicit_generation_tools</x:v>
      </x:c>
      <x:c r="J1" s="14" t="str">
        <x:v>Explicit_final_editor_or_NLE</x:v>
      </x:c>
      <x:c r="K1" s="14" t="str">
        <x:v>Jianying_explicit</x:v>
      </x:c>
      <x:c r="L1" s="14" t="str">
        <x:v>CapCut_explicit</x:v>
      </x:c>
      <x:c r="M1" s="14" t="str">
        <x:v>Premiere_explicit</x:v>
      </x:c>
      <x:c r="N1" s="14" t="str">
        <x:v>AfterEffects_explicit</x:v>
      </x:c>
      <x:c r="O1" s="14" t="str">
        <x:v>DaVinci_explicit</x:v>
      </x:c>
      <x:c r="P1" s="14" t="str">
        <x:v>Clipchamp_explicit</x:v>
      </x:c>
      <x:c r="Q1" s="14" t="str">
        <x:v>Adobe_any_explicit</x:v>
      </x:c>
      <x:c r="R1" s="14" t="str">
        <x:v>Editor_evidence</x:v>
      </x:c>
      <x:c r="S1" s="14" t="str">
        <x:v>Count_source_URL</x:v>
      </x:c>
      <x:c r="T1" s="14" t="str">
        <x:v>Editor_evidence_URL</x:v>
      </x:c>
      <x:c r="U1" s="14" t="str">
        <x:v>Notes</x:v>
      </x:c>
    </x:row>
    <x:row r="2">
      <x:c r="A2" s="15" t="str">
        <x:v>Bilibili</x:v>
      </x:c>
      <x:c r="B2" s="15" t="n">
        <x:v>1</x:v>
      </x:c>
      <x:c r="C2" s="18" t="n">
        <x:v>5379000</x:v>
      </x:c>
      <x:c r="D2" s="15" t="str">
        <x:v>537.9万</x:v>
      </x:c>
      <x:c r="E2" s="15" t="str">
        <x:v>rounded</x:v>
      </x:c>
      <x:c r="F2" s="15" t="str">
        <x:v>【全30集】即梦+豆包+剪映，2小时快速掌握AI视频制作技巧…</x:v>
      </x:c>
      <x:c r="G2" s="15" t="str">
        <x:v>BV11NHJzTEbE</x:v>
      </x:c>
      <x:c r="H2" s="15" t="str">
        <x:v>https://www.bilibili.com/video/BV11NHJzTEbE/</x:v>
      </x:c>
      <x:c r="I2" s="15" t="str">
        <x:v>即梦；豆包</x:v>
      </x:c>
      <x:c r="J2" s="15" t="str">
        <x:v>剪映</x:v>
      </x:c>
      <x:c r="K2" s="20" t="n">
        <x:v>1</x:v>
      </x:c>
      <x:c r="L2" s="20" t="n">
        <x:v>0</x:v>
      </x:c>
      <x:c r="M2" s="20" t="n">
        <x:v>0</x:v>
      </x:c>
      <x:c r="N2" s="20" t="n">
        <x:v>0</x:v>
      </x:c>
      <x:c r="O2" s="20" t="n">
        <x:v>0</x:v>
      </x:c>
      <x:c r="P2" s="20" t="n">
        <x:v>0</x:v>
      </x:c>
      <x:c r="Q2" s="20" t="n">
        <x:v>0</x:v>
      </x:c>
      <x:c r="R2" s="15" t="str">
        <x:v>标题明确</x:v>
      </x:c>
      <x:c r="S2" s="15" t="str">
        <x:v>https://www.bilibili.com/video/BV1NHsxzhE9j/</x:v>
      </x:c>
      <x:c r="T2" s="15" t="str">
        <x:v>https://www.bilibili.com/video/BV11NHJzTEbE/</x:v>
      </x:c>
      <x:c r="U2" s="15" t="str">
        <x:v>相关推荐卡片显示537.9万；编辑器由标题明确。</x:v>
      </x:c>
    </x:row>
    <x:row r="3">
      <x:c r="A3" s="15" t="str">
        <x:v>Bilibili</x:v>
      </x:c>
      <x:c r="B3" s="15" t="n">
        <x:v>2</x:v>
      </x:c>
      <x:c r="C3" s="18" t="n">
        <x:v>628000</x:v>
      </x:c>
      <x:c r="D3" s="15" t="str">
        <x:v>62.8万</x:v>
      </x:c>
      <x:c r="E3" s="15" t="str">
        <x:v>rounded</x:v>
      </x:c>
      <x:c r="F3" s="15" t="str">
        <x:v>爆肝2个月！90分钟拆解AI漫剧全流程（选题+剧本+分镜+视频+配音+剪辑+变现）</x:v>
      </x:c>
      <x:c r="G3" s="15" t="str">
        <x:v>BV1BoM76iEih</x:v>
      </x:c>
      <x:c r="H3" s="15" t="str">
        <x:v>https://www.bilibili.com/video/BV1BoM76iEih/</x:v>
      </x:c>
      <x:c r="I3" s="15" t="str"/>
      <x:c r="J3" s="15" t="str">
        <x:v>未确认</x:v>
      </x:c>
      <x:c r="K3" s="20" t="n">
        <x:v>0</x:v>
      </x:c>
      <x:c r="L3" s="20" t="n">
        <x:v>0</x:v>
      </x:c>
      <x:c r="M3" s="20" t="n">
        <x:v>0</x:v>
      </x:c>
      <x:c r="N3" s="20" t="n">
        <x:v>0</x:v>
      </x:c>
      <x:c r="O3" s="20" t="n">
        <x:v>0</x:v>
      </x:c>
      <x:c r="P3" s="20" t="n">
        <x:v>0</x:v>
      </x:c>
      <x:c r="Q3" s="20" t="n">
        <x:v>0</x:v>
      </x:c>
      <x:c r="R3" s="15" t="str">
        <x:v>未确认</x:v>
      </x:c>
      <x:c r="S3" s="15" t="str">
        <x:v>https://www.bilibili.com/video/BV1BoM76iEih/</x:v>
      </x:c>
      <x:c r="T3" s="15" t="str"/>
      <x:c r="U3" s="15" t="str">
        <x:v>完整流程；不从“剪辑”字样推断具体软件。</x:v>
      </x:c>
    </x:row>
    <x:row r="4">
      <x:c r="A4" s="15" t="str">
        <x:v>Bilibili</x:v>
      </x:c>
      <x:c r="B4" s="15" t="n">
        <x:v>3</x:v>
      </x:c>
      <x:c r="C4" s="18" t="n">
        <x:v>442000</x:v>
      </x:c>
      <x:c r="D4" s="15" t="str">
        <x:v>44.2万</x:v>
      </x:c>
      <x:c r="E4" s="15" t="str">
        <x:v>rounded</x:v>
      </x:c>
      <x:c r="F4" s="15" t="str">
        <x:v>【保姆级教程】AI动画电影制作，ComfyUI+豆包+即梦AI玩转AI短剧赛道</x:v>
      </x:c>
      <x:c r="G4" s="15" t="str">
        <x:v>BV1peN4zkEqT</x:v>
      </x:c>
      <x:c r="H4" s="15" t="str">
        <x:v>https://www.bilibili.com/video/BV1peN4zkEqT/</x:v>
      </x:c>
      <x:c r="I4" s="15" t="str">
        <x:v>ComfyUI；豆包；即梦</x:v>
      </x:c>
      <x:c r="J4" s="15" t="str">
        <x:v>未确认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15" t="str">
        <x:v>未确认</x:v>
      </x:c>
      <x:c r="S4" s="15" t="str">
        <x:v>https://www.bilibili.com/video/BV12NgBzfEFJ/</x:v>
      </x:c>
      <x:c r="T4" s="15" t="str"/>
      <x:c r="U4" s="15" t="str">
        <x:v>相关推荐卡片显示44.2万。</x:v>
      </x:c>
    </x:row>
    <x:row r="5">
      <x:c r="A5" s="15" t="str">
        <x:v>Bilibili</x:v>
      </x:c>
      <x:c r="B5" s="15" t="n">
        <x:v>4</x:v>
      </x:c>
      <x:c r="C5" s="18" t="n">
        <x:v>427000</x:v>
      </x:c>
      <x:c r="D5" s="15" t="str">
        <x:v>42.7万</x:v>
      </x:c>
      <x:c r="E5" s="15" t="str">
        <x:v>rounded</x:v>
      </x:c>
      <x:c r="F5" s="15" t="str">
        <x:v>【2026最新版】全30集，即梦+豆包+剪映，2小时快速掌握AI视频制作技巧…</x:v>
      </x:c>
      <x:c r="G5" s="15" t="str">
        <x:v>BV1Tvr8BKER1</x:v>
      </x:c>
      <x:c r="H5" s="15" t="str">
        <x:v>https://www.bilibili.com/video/BV1Tvr8BKER1/</x:v>
      </x:c>
      <x:c r="I5" s="15" t="str">
        <x:v>即梦；豆包</x:v>
      </x:c>
      <x:c r="J5" s="15" t="str">
        <x:v>剪映</x:v>
      </x:c>
      <x:c r="K5" s="20" t="n">
        <x:v>1</x:v>
      </x:c>
      <x:c r="L5" s="20" t="n">
        <x:v>0</x:v>
      </x:c>
      <x:c r="M5" s="20" t="n">
        <x:v>0</x:v>
      </x:c>
      <x:c r="N5" s="20" t="n">
        <x:v>0</x:v>
      </x:c>
      <x:c r="O5" s="20" t="n">
        <x:v>0</x:v>
      </x:c>
      <x:c r="P5" s="20" t="n">
        <x:v>0</x:v>
      </x:c>
      <x:c r="Q5" s="20" t="n">
        <x:v>0</x:v>
      </x:c>
      <x:c r="R5" s="15" t="str">
        <x:v>标题明确</x:v>
      </x:c>
      <x:c r="S5" s="15" t="str">
        <x:v>https://www.bilibili.com/video/BV1NHsxzhE9j/</x:v>
      </x:c>
      <x:c r="T5" s="15" t="str">
        <x:v>https://www.bilibili.com/video/BV1Tvr8BKER1/</x:v>
      </x:c>
      <x:c r="U5" s="15" t="str">
        <x:v>编辑器由标题明确。</x:v>
      </x:c>
    </x:row>
    <x:row r="6">
      <x:c r="A6" s="15" t="str">
        <x:v>Bilibili</x:v>
      </x:c>
      <x:c r="B6" s="15" t="n">
        <x:v>5</x:v>
      </x:c>
      <x:c r="C6" s="18" t="n">
        <x:v>405000</x:v>
      </x:c>
      <x:c r="D6" s="15" t="str">
        <x:v>40.5万</x:v>
      </x:c>
      <x:c r="E6" s="15" t="str">
        <x:v>rounded</x:v>
      </x:c>
      <x:c r="F6" s="15" t="str">
        <x:v>【全68集】目前B站最全最细的AI视频保姆级教程，2025最新版全流程</x:v>
      </x:c>
      <x:c r="G6" s="15" t="str">
        <x:v>BV1UjEaziEWa</x:v>
      </x:c>
      <x:c r="H6" s="15" t="str">
        <x:v>https://www.bilibili.com/video/BV1UjEaziEWa/</x:v>
      </x:c>
      <x:c r="I6" s="15" t="str"/>
      <x:c r="J6" s="15" t="str">
        <x:v>未确认</x:v>
      </x:c>
      <x:c r="K6" s="20" t="n">
        <x:v>0</x:v>
      </x:c>
      <x:c r="L6" s="20" t="n">
        <x:v>0</x:v>
      </x:c>
      <x:c r="M6" s="20" t="n">
        <x:v>0</x:v>
      </x:c>
      <x:c r="N6" s="20" t="n">
        <x:v>0</x:v>
      </x:c>
      <x:c r="O6" s="20" t="n">
        <x:v>0</x:v>
      </x:c>
      <x:c r="P6" s="20" t="n">
        <x:v>0</x:v>
      </x:c>
      <x:c r="Q6" s="20" t="n">
        <x:v>0</x:v>
      </x:c>
      <x:c r="R6" s="15" t="str">
        <x:v>未确认</x:v>
      </x:c>
      <x:c r="S6" s="15" t="str">
        <x:v>https://www.bilibili.com/video/BV12NgBzfEFJ/</x:v>
      </x:c>
      <x:c r="T6" s="15" t="str"/>
      <x:c r="U6" s="15" t="str">
        <x:v>相关推荐卡片显示40.5万。</x:v>
      </x:c>
    </x:row>
    <x:row r="7">
      <x:c r="A7" s="15" t="str">
        <x:v>Bilibili</x:v>
      </x:c>
      <x:c r="B7" s="15" t="n">
        <x:v>6</x:v>
      </x:c>
      <x:c r="C7" s="18" t="n">
        <x:v>332000</x:v>
      </x:c>
      <x:c r="D7" s="15" t="str">
        <x:v>33.2万</x:v>
      </x:c>
      <x:c r="E7" s="15" t="str">
        <x:v>rounded</x:v>
      </x:c>
      <x:c r="F7" s="15" t="str">
        <x:v>连贯故事AI视频制作全流程教程</x:v>
      </x:c>
      <x:c r="G7" s="15" t="str">
        <x:v>BV1MnNizVEqi</x:v>
      </x:c>
      <x:c r="H7" s="15" t="str">
        <x:v>https://www.bilibili.com/video/BV1MnNizVEqi/</x:v>
      </x:c>
      <x:c r="I7" s="15" t="str"/>
      <x:c r="J7" s="15" t="str">
        <x:v>未确认</x:v>
      </x:c>
      <x:c r="K7" s="20" t="n">
        <x:v>0</x:v>
      </x:c>
      <x:c r="L7" s="20" t="n">
        <x:v>0</x:v>
      </x:c>
      <x:c r="M7" s="20" t="n">
        <x:v>0</x:v>
      </x:c>
      <x:c r="N7" s="20" t="n">
        <x:v>0</x:v>
      </x:c>
      <x:c r="O7" s="20" t="n">
        <x:v>0</x:v>
      </x:c>
      <x:c r="P7" s="20" t="n">
        <x:v>0</x:v>
      </x:c>
      <x:c r="Q7" s="20" t="n">
        <x:v>0</x:v>
      </x:c>
      <x:c r="R7" s="15" t="str">
        <x:v>未确认</x:v>
      </x:c>
      <x:c r="S7" s="15" t="str">
        <x:v>https://www.bilibili.com/video/BV1MnNizVEqi/</x:v>
      </x:c>
      <x:c r="T7" s="15" t="str"/>
      <x:c r="U7" s="15" t="str">
        <x:v>搜索可见高播放完整流程样本。</x:v>
      </x:c>
    </x:row>
    <x:row r="8">
      <x:c r="A8" s="15" t="str">
        <x:v>Bilibili</x:v>
      </x:c>
      <x:c r="B8" s="15" t="n">
        <x:v>7</x:v>
      </x:c>
      <x:c r="C8" s="18" t="n">
        <x:v>237000</x:v>
      </x:c>
      <x:c r="D8" s="15" t="str">
        <x:v>23.7万</x:v>
      </x:c>
      <x:c r="E8" s="15" t="str">
        <x:v>rounded</x:v>
      </x:c>
      <x:c r="F8" s="15" t="str">
        <x:v>【保姆级教程】10个作品涨粉50万，AI古装短剧制作教学</x:v>
      </x:c>
      <x:c r="G8" s="15" t="str">
        <x:v>BV1e58JzzEm3</x:v>
      </x:c>
      <x:c r="H8" s="15" t="str">
        <x:v>https://www.bilibili.com/video/BV1e58JzzEm3/</x:v>
      </x:c>
      <x:c r="I8" s="15" t="str"/>
      <x:c r="J8" s="15" t="str">
        <x:v>未确认</x:v>
      </x:c>
      <x:c r="K8" s="20" t="n"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</x:v>
      </x:c>
      <x:c r="P8" s="20" t="n">
        <x:v>0</x:v>
      </x:c>
      <x:c r="Q8" s="20" t="n">
        <x:v>0</x:v>
      </x:c>
      <x:c r="R8" s="15" t="str">
        <x:v>未确认</x:v>
      </x:c>
      <x:c r="S8" s="15" t="str">
        <x:v>https://www.bilibili.com/video/BV12NgBzfEFJ/</x:v>
      </x:c>
      <x:c r="T8" s="15" t="str"/>
      <x:c r="U8" s="15" t="str">
        <x:v>相关推荐卡片显示23.7万。</x:v>
      </x:c>
    </x:row>
    <x:row r="9">
      <x:c r="A9" s="15" t="str">
        <x:v>Bilibili</x:v>
      </x:c>
      <x:c r="B9" s="15" t="n">
        <x:v>8</x:v>
      </x:c>
      <x:c r="C9" s="18" t="n">
        <x:v>230000</x:v>
      </x:c>
      <x:c r="D9" s="15" t="str">
        <x:v>23.0万</x:v>
      </x:c>
      <x:c r="E9" s="15" t="str">
        <x:v>rounded</x:v>
      </x:c>
      <x:c r="F9" s="15" t="str">
        <x:v>【全68集】0基础0成本！AI视频制作保姆级教程，打造电影级AI短片</x:v>
      </x:c>
      <x:c r="G9" s="15" t="str">
        <x:v>BV1RkwLzdEP1</x:v>
      </x:c>
      <x:c r="H9" s="15" t="str">
        <x:v>https://www.bilibili.com/video/BV1RkwLzdEP1/</x:v>
      </x:c>
      <x:c r="I9" s="15" t="str"/>
      <x:c r="J9" s="15" t="str">
        <x:v>未确认</x:v>
      </x:c>
      <x:c r="K9" s="20" t="n">
        <x:v>0</x:v>
      </x:c>
      <x:c r="L9" s="20" t="n">
        <x:v>0</x:v>
      </x:c>
      <x:c r="M9" s="20" t="n">
        <x:v>0</x:v>
      </x:c>
      <x:c r="N9" s="20" t="n">
        <x:v>0</x:v>
      </x:c>
      <x:c r="O9" s="20" t="n">
        <x:v>0</x:v>
      </x:c>
      <x:c r="P9" s="20" t="n">
        <x:v>0</x:v>
      </x:c>
      <x:c r="Q9" s="20" t="n">
        <x:v>0</x:v>
      </x:c>
      <x:c r="R9" s="15" t="str">
        <x:v>未确认</x:v>
      </x:c>
      <x:c r="S9" s="15" t="str">
        <x:v>https://www.bilibili.com/video/BV1NHsxzhE9j/</x:v>
      </x:c>
      <x:c r="T9" s="15" t="str"/>
      <x:c r="U9" s="15" t="str">
        <x:v>相关推荐卡片显示23.0万。</x:v>
      </x:c>
    </x:row>
    <x:row r="10">
      <x:c r="A10" s="15" t="str">
        <x:v>Bilibili</x:v>
      </x:c>
      <x:c r="B10" s="15" t="n">
        <x:v>9</x:v>
      </x:c>
      <x:c r="C10" s="18" t="n">
        <x:v>221000</x:v>
      </x:c>
      <x:c r="D10" s="15" t="str">
        <x:v>22.1万</x:v>
      </x:c>
      <x:c r="E10" s="15" t="str">
        <x:v>rounded</x:v>
      </x:c>
      <x:c r="F10" s="15" t="str">
        <x:v>（已离职）9980 AI动态漫全套系统教程，从脚本撰写到制作剪辑成片</x:v>
      </x:c>
      <x:c r="G10" s="15" t="str">
        <x:v>BV1tEdgBjEUb</x:v>
      </x:c>
      <x:c r="H10" s="15" t="str">
        <x:v>https://www.bilibili.com/video/BV1tEdgBjEUb/</x:v>
      </x:c>
      <x:c r="I10" s="15" t="str"/>
      <x:c r="J10" s="15" t="str">
        <x:v>未确认</x:v>
      </x:c>
      <x:c r="K10" s="20" t="n">
        <x:v>0</x:v>
      </x:c>
      <x:c r="L10" s="20" t="n">
        <x:v>0</x:v>
      </x:c>
      <x:c r="M10" s="20" t="n">
        <x:v>0</x:v>
      </x:c>
      <x:c r="N10" s="20" t="n">
        <x:v>0</x:v>
      </x:c>
      <x:c r="O10" s="20" t="n">
        <x:v>0</x:v>
      </x:c>
      <x:c r="P10" s="20" t="n">
        <x:v>0</x:v>
      </x:c>
      <x:c r="Q10" s="20" t="n">
        <x:v>0</x:v>
      </x:c>
      <x:c r="R10" s="15" t="str">
        <x:v>未确认</x:v>
      </x:c>
      <x:c r="S10" s="15" t="str">
        <x:v>https://www.bilibili.com/video/BV1NHsxzhE9j/</x:v>
      </x:c>
      <x:c r="T10" s="15" t="str"/>
      <x:c r="U10" s="15" t="str">
        <x:v>标题未指明具体编辑器。</x:v>
      </x:c>
    </x:row>
    <x:row r="11">
      <x:c r="A11" s="15" t="str">
        <x:v>Bilibili</x:v>
      </x:c>
      <x:c r="B11" s="15" t="n">
        <x:v>10</x:v>
      </x:c>
      <x:c r="C11" s="18" t="n">
        <x:v>214000</x:v>
      </x:c>
      <x:c r="D11" s="15" t="str">
        <x:v>21.4万</x:v>
      </x:c>
      <x:c r="E11" s="15" t="str">
        <x:v>rounded</x:v>
      </x:c>
      <x:c r="F11" s="15" t="str">
        <x:v>【全68集】史上最全AI视频制作全流程教程</x:v>
      </x:c>
      <x:c r="G11" s="15" t="str">
        <x:v>BV15eaJzCEtR</x:v>
      </x:c>
      <x:c r="H11" s="15" t="str">
        <x:v>https://www.bilibili.com/video/BV15eaJzCEtR/</x:v>
      </x:c>
      <x:c r="I11" s="15" t="str"/>
      <x:c r="J11" s="15" t="str">
        <x:v>未确认</x:v>
      </x:c>
      <x:c r="K11" s="20" t="n">
        <x:v>0</x:v>
      </x:c>
      <x:c r="L11" s="20" t="n">
        <x:v>0</x:v>
      </x:c>
      <x:c r="M11" s="20" t="n">
        <x:v>0</x:v>
      </x:c>
      <x:c r="N11" s="20" t="n">
        <x:v>0</x:v>
      </x:c>
      <x:c r="O11" s="20" t="n">
        <x:v>0</x:v>
      </x:c>
      <x:c r="P11" s="20" t="n">
        <x:v>0</x:v>
      </x:c>
      <x:c r="Q11" s="20" t="n">
        <x:v>0</x:v>
      </x:c>
      <x:c r="R11" s="15" t="str">
        <x:v>未确认</x:v>
      </x:c>
      <x:c r="S11" s="15" t="str">
        <x:v>https://www.bilibili.com/video/BV15eaJzCEtR/</x:v>
      </x:c>
      <x:c r="T11" s="15" t="str"/>
      <x:c r="U11" s="15" t="str">
        <x:v>搜索可见完整流程样本。</x:v>
      </x:c>
    </x:row>
    <x:row r="12">
      <x:c r="A12" s="15" t="str">
        <x:v>Bilibili</x:v>
      </x:c>
      <x:c r="B12" s="15" t="n">
        <x:v>11</x:v>
      </x:c>
      <x:c r="C12" s="18" t="n">
        <x:v>170000</x:v>
      </x:c>
      <x:c r="D12" s="15" t="str">
        <x:v>17.0万</x:v>
      </x:c>
      <x:c r="E12" s="15" t="str">
        <x:v>rounded</x:v>
      </x:c>
      <x:c r="F12" s="15" t="str">
        <x:v>【全748集】2026最全最细“即梦+豆包+剪映”教程</x:v>
      </x:c>
      <x:c r="G12" s="15" t="str">
        <x:v>BV172zeB4Eo8</x:v>
      </x:c>
      <x:c r="H12" s="15" t="str">
        <x:v>https://www.bilibili.com/video/BV172zeB4Eo8/</x:v>
      </x:c>
      <x:c r="I12" s="15" t="str">
        <x:v>即梦；豆包</x:v>
      </x:c>
      <x:c r="J12" s="15" t="str">
        <x:v>剪映</x:v>
      </x:c>
      <x:c r="K12" s="20" t="n">
        <x:v>1</x:v>
      </x:c>
      <x:c r="L12" s="20" t="n">
        <x:v>0</x:v>
      </x:c>
      <x:c r="M12" s="20" t="n">
        <x:v>0</x:v>
      </x:c>
      <x:c r="N12" s="20" t="n">
        <x:v>0</x:v>
      </x:c>
      <x:c r="O12" s="20" t="n">
        <x:v>0</x:v>
      </x:c>
      <x:c r="P12" s="20" t="n">
        <x:v>0</x:v>
      </x:c>
      <x:c r="Q12" s="20" t="n">
        <x:v>0</x:v>
      </x:c>
      <x:c r="R12" s="15" t="str">
        <x:v>标题明确</x:v>
      </x:c>
      <x:c r="S12" s="15" t="str">
        <x:v>https://www.bilibili.com/video/BV1NHsxzhE9j/</x:v>
      </x:c>
      <x:c r="T12" s="15" t="str">
        <x:v>https://www.bilibili.com/video/BV172zeB4Eo8/</x:v>
      </x:c>
      <x:c r="U12" s="15" t="str">
        <x:v>编辑器由标题明确。</x:v>
      </x:c>
    </x:row>
    <x:row r="13">
      <x:c r="A13" s="15" t="str">
        <x:v>Bilibili</x:v>
      </x:c>
      <x:c r="B13" s="15" t="n">
        <x:v>12</x:v>
      </x:c>
      <x:c r="C13" s="18" t="n">
        <x:v>145000</x:v>
      </x:c>
      <x:c r="D13" s="15" t="str">
        <x:v>14.5万</x:v>
      </x:c>
      <x:c r="E13" s="15" t="str">
        <x:v>rounded</x:v>
      </x:c>
      <x:c r="F13" s="15" t="str">
        <x:v>【全68集】3分钟入门AI视频制作，零基础保姆级全流程教学</x:v>
      </x:c>
      <x:c r="G13" s="15" t="str">
        <x:v>BV13it4zDE2K</x:v>
      </x:c>
      <x:c r="H13" s="15" t="str">
        <x:v>https://www.bilibili.com/video/BV13it4zDE2K/</x:v>
      </x:c>
      <x:c r="I13" s="15" t="str"/>
      <x:c r="J13" s="15" t="str">
        <x:v>未确认</x:v>
      </x:c>
      <x:c r="K13" s="20" t="n">
        <x:v>0</x:v>
      </x:c>
      <x:c r="L13" s="20" t="n">
        <x:v>0</x:v>
      </x:c>
      <x:c r="M13" s="20" t="n">
        <x:v>0</x:v>
      </x:c>
      <x:c r="N13" s="20" t="n">
        <x:v>0</x:v>
      </x:c>
      <x:c r="O13" s="20" t="n">
        <x:v>0</x:v>
      </x:c>
      <x:c r="P13" s="20" t="n">
        <x:v>0</x:v>
      </x:c>
      <x:c r="Q13" s="20" t="n">
        <x:v>0</x:v>
      </x:c>
      <x:c r="R13" s="15" t="str">
        <x:v>未确认</x:v>
      </x:c>
      <x:c r="S13" s="15" t="str">
        <x:v>https://www.bilibili.com/video/BV12NgBzfEFJ/</x:v>
      </x:c>
      <x:c r="T13" s="15" t="str"/>
      <x:c r="U13" s="15" t="str">
        <x:v>相关推荐卡片显示14.5万。</x:v>
      </x:c>
    </x:row>
    <x:row r="14">
      <x:c r="A14" s="15" t="str">
        <x:v>Bilibili</x:v>
      </x:c>
      <x:c r="B14" s="15" t="n">
        <x:v>13</x:v>
      </x:c>
      <x:c r="C14" s="18" t="n">
        <x:v>143000</x:v>
      </x:c>
      <x:c r="D14" s="15" t="str">
        <x:v>14.3万</x:v>
      </x:c>
      <x:c r="E14" s="15" t="str">
        <x:v>rounded</x:v>
      </x:c>
      <x:c r="F14" s="15" t="str">
        <x:v>这才是成年人该看的《AI动画教程》（附操作文档）</x:v>
      </x:c>
      <x:c r="G14" s="15" t="str">
        <x:v>BV1bDggzsEzq</x:v>
      </x:c>
      <x:c r="H14" s="15" t="str">
        <x:v>https://www.bilibili.com/video/BV1bDggzsEzq/</x:v>
      </x:c>
      <x:c r="I14" s="15" t="str"/>
      <x:c r="J14" s="15" t="str">
        <x:v>未确认</x:v>
      </x:c>
      <x:c r="K14" s="20" t="n">
        <x:v>0</x:v>
      </x:c>
      <x:c r="L14" s="20" t="n">
        <x:v>0</x:v>
      </x:c>
      <x:c r="M14" s="20" t="n">
        <x:v>0</x:v>
      </x:c>
      <x:c r="N14" s="20" t="n">
        <x:v>0</x:v>
      </x:c>
      <x:c r="O14" s="20" t="n">
        <x:v>0</x:v>
      </x:c>
      <x:c r="P14" s="20" t="n">
        <x:v>0</x:v>
      </x:c>
      <x:c r="Q14" s="20" t="n">
        <x:v>0</x:v>
      </x:c>
      <x:c r="R14" s="15" t="str">
        <x:v>未确认</x:v>
      </x:c>
      <x:c r="S14" s="15" t="str">
        <x:v>https://www.bilibili.com/video/BV12NgBzfEFJ/</x:v>
      </x:c>
      <x:c r="T14" s="15" t="str"/>
      <x:c r="U14" s="15" t="str">
        <x:v>相关推荐卡片显示14.3万。</x:v>
      </x:c>
    </x:row>
    <x:row r="15">
      <x:c r="A15" s="15" t="str">
        <x:v>Bilibili</x:v>
      </x:c>
      <x:c r="B15" s="15" t="n">
        <x:v>14</x:v>
      </x:c>
      <x:c r="C15" s="18" t="n">
        <x:v>108000</x:v>
      </x:c>
      <x:c r="D15" s="15" t="str">
        <x:v>10.8万</x:v>
      </x:c>
      <x:c r="E15" s="15" t="str">
        <x:v>rounded</x:v>
      </x:c>
      <x:c r="F15" s="15" t="str">
        <x:v>豆包AI一站式生成AI动画：脚本+分镜+配音剪辑全流程</x:v>
      </x:c>
      <x:c r="G15" s="15" t="str">
        <x:v>BV18Pctz7EfN</x:v>
      </x:c>
      <x:c r="H15" s="15" t="str">
        <x:v>https://www.bilibili.com/video/BV18Pctz7EfN/</x:v>
      </x:c>
      <x:c r="I15" s="15" t="str">
        <x:v>豆包</x:v>
      </x:c>
      <x:c r="J15" s="15" t="str">
        <x:v>未确认</x:v>
      </x:c>
      <x:c r="K15" s="20" t="n">
        <x:v>0</x:v>
      </x:c>
      <x:c r="L15" s="20" t="n">
        <x:v>0</x:v>
      </x:c>
      <x:c r="M15" s="20" t="n">
        <x:v>0</x:v>
      </x:c>
      <x:c r="N15" s="20" t="n">
        <x:v>0</x:v>
      </x:c>
      <x:c r="O15" s="20" t="n">
        <x:v>0</x:v>
      </x:c>
      <x:c r="P15" s="20" t="n">
        <x:v>0</x:v>
      </x:c>
      <x:c r="Q15" s="20" t="n">
        <x:v>0</x:v>
      </x:c>
      <x:c r="R15" s="15" t="str">
        <x:v>未确认</x:v>
      </x:c>
      <x:c r="S15" s="15" t="str">
        <x:v>https://www.bilibili.com/video/BV1NHsxzhE9j/</x:v>
      </x:c>
      <x:c r="T15" s="15" t="str"/>
      <x:c r="U15" s="15" t="str">
        <x:v>“一站式/剪辑”未等同于剪映。</x:v>
      </x:c>
    </x:row>
    <x:row r="16">
      <x:c r="A16" s="15" t="str">
        <x:v>Bilibili</x:v>
      </x:c>
      <x:c r="B16" s="15" t="n">
        <x:v>15</x:v>
      </x:c>
      <x:c r="C16" s="18" t="n">
        <x:v>103000</x:v>
      </x:c>
      <x:c r="D16" s="15" t="str">
        <x:v>10.3万</x:v>
      </x:c>
      <x:c r="E16" s="15" t="str">
        <x:v>rounded</x:v>
      </x:c>
      <x:c r="F16" s="15" t="str">
        <x:v>如何使用豆包快速去制作一个短片</x:v>
      </x:c>
      <x:c r="G16" s="15" t="str">
        <x:v>BV1QLE1zyEmj</x:v>
      </x:c>
      <x:c r="H16" s="15" t="str">
        <x:v>https://www.bilibili.com/video/BV1QLE1zyEmj/</x:v>
      </x:c>
      <x:c r="I16" s="15" t="str">
        <x:v>豆包</x:v>
      </x:c>
      <x:c r="J16" s="15" t="str">
        <x:v>未确认</x:v>
      </x:c>
      <x:c r="K16" s="20" t="n">
        <x:v>0</x:v>
      </x:c>
      <x:c r="L16" s="20" t="n">
        <x:v>0</x:v>
      </x:c>
      <x:c r="M16" s="20" t="n">
        <x:v>0</x:v>
      </x:c>
      <x:c r="N16" s="20" t="n">
        <x:v>0</x:v>
      </x:c>
      <x:c r="O16" s="20" t="n">
        <x:v>0</x:v>
      </x:c>
      <x:c r="P16" s="20" t="n">
        <x:v>0</x:v>
      </x:c>
      <x:c r="Q16" s="20" t="n">
        <x:v>0</x:v>
      </x:c>
      <x:c r="R16" s="15" t="str">
        <x:v>未确认</x:v>
      </x:c>
      <x:c r="S16" s="15" t="str">
        <x:v>https://www.bilibili.com/video/BV12NgBzfEFJ/</x:v>
      </x:c>
      <x:c r="T16" s="15" t="str"/>
      <x:c r="U16" s="15" t="str">
        <x:v>相关推荐卡片显示10.3万。</x:v>
      </x:c>
    </x:row>
    <x:row r="17">
      <x:c r="A17" s="15" t="str">
        <x:v>Bilibili</x:v>
      </x:c>
      <x:c r="B17" s="15" t="n">
        <x:v>16</x:v>
      </x:c>
      <x:c r="C17" s="18" t="n">
        <x:v>96000</x:v>
      </x:c>
      <x:c r="D17" s="15" t="str">
        <x:v>9.6万</x:v>
      </x:c>
      <x:c r="E17" s="15" t="str">
        <x:v>rounded</x:v>
      </x:c>
      <x:c r="F17" s="15" t="str">
        <x:v>《数码宝贝》真人版重现：手把手AI影视教程</x:v>
      </x:c>
      <x:c r="G17" s="15" t="str">
        <x:v>BV1RY8jzfETk</x:v>
      </x:c>
      <x:c r="H17" s="15" t="str">
        <x:v>https://www.bilibili.com/video/BV1RY8jzfETk/</x:v>
      </x:c>
      <x:c r="I17" s="15" t="str"/>
      <x:c r="J17" s="15" t="str">
        <x:v>未确认</x:v>
      </x:c>
      <x:c r="K17" s="20" t="n">
        <x:v>0</x:v>
      </x:c>
      <x:c r="L17" s="20" t="n">
        <x:v>0</x:v>
      </x:c>
      <x:c r="M17" s="20" t="n">
        <x:v>0</x:v>
      </x:c>
      <x:c r="N17" s="20" t="n">
        <x:v>0</x:v>
      </x:c>
      <x:c r="O17" s="20" t="n">
        <x:v>0</x:v>
      </x:c>
      <x:c r="P17" s="20" t="n">
        <x:v>0</x:v>
      </x:c>
      <x:c r="Q17" s="20" t="n">
        <x:v>0</x:v>
      </x:c>
      <x:c r="R17" s="15" t="str">
        <x:v>未确认</x:v>
      </x:c>
      <x:c r="S17" s="15" t="str">
        <x:v>https://www.bilibili.com/video/BV1NHsxzhE9j/</x:v>
      </x:c>
      <x:c r="T17" s="15" t="str"/>
      <x:c r="U17" s="15" t="str">
        <x:v>相关推荐卡片显示9.6万。</x:v>
      </x:c>
    </x:row>
    <x:row r="18">
      <x:c r="A18" s="15" t="str">
        <x:v>Bilibili</x:v>
      </x:c>
      <x:c r="B18" s="15" t="n">
        <x:v>17</x:v>
      </x:c>
      <x:c r="C18" s="18" t="n">
        <x:v>94000</x:v>
      </x:c>
      <x:c r="D18" s="15" t="str">
        <x:v>9.4万</x:v>
      </x:c>
      <x:c r="E18" s="15" t="str">
        <x:v>rounded</x:v>
      </x:c>
      <x:c r="F18" s="15" t="str">
        <x:v>挑战5小时一个人用AI做一条短片：李白《将进酒》</x:v>
      </x:c>
      <x:c r="G18" s="15" t="str">
        <x:v>BV1wKrhYvEq5</x:v>
      </x:c>
      <x:c r="H18" s="15" t="str">
        <x:v>https://www.bilibili.com/video/BV1wKrhYvEq5/</x:v>
      </x:c>
      <x:c r="I18" s="15" t="str"/>
      <x:c r="J18" s="15" t="str">
        <x:v>未确认</x:v>
      </x:c>
      <x:c r="K18" s="20" t="n">
        <x:v>0</x:v>
      </x:c>
      <x:c r="L18" s="20" t="n">
        <x:v>0</x:v>
      </x:c>
      <x:c r="M18" s="20" t="n">
        <x:v>0</x:v>
      </x:c>
      <x:c r="N18" s="20" t="n">
        <x:v>0</x:v>
      </x:c>
      <x:c r="O18" s="20" t="n">
        <x:v>0</x:v>
      </x:c>
      <x:c r="P18" s="20" t="n">
        <x:v>0</x:v>
      </x:c>
      <x:c r="Q18" s="20" t="n">
        <x:v>0</x:v>
      </x:c>
      <x:c r="R18" s="15" t="str">
        <x:v>未确认</x:v>
      </x:c>
      <x:c r="S18" s="15" t="str">
        <x:v>https://www.bilibili.com/video/BV12NgBzfEFJ/</x:v>
      </x:c>
      <x:c r="T18" s="15" t="str"/>
      <x:c r="U18" s="15" t="str">
        <x:v>相关推荐卡片显示9.4万。</x:v>
      </x:c>
    </x:row>
    <x:row r="19">
      <x:c r="A19" s="15" t="str">
        <x:v>Bilibili</x:v>
      </x:c>
      <x:c r="B19" s="15" t="n">
        <x:v>18</x:v>
      </x:c>
      <x:c r="C19" s="18" t="n">
        <x:v>93000</x:v>
      </x:c>
      <x:c r="D19" s="15" t="str">
        <x:v>9.3万</x:v>
      </x:c>
      <x:c r="E19" s="15" t="str">
        <x:v>rounded</x:v>
      </x:c>
      <x:c r="F19" s="15" t="str">
        <x:v>电影感AI苗疆少女一键生成教程</x:v>
      </x:c>
      <x:c r="G19" s="15" t="str">
        <x:v>BV1kmujzoEQJ</x:v>
      </x:c>
      <x:c r="H19" s="15" t="str">
        <x:v>https://www.bilibili.com/video/BV1kmujzoEQJ/</x:v>
      </x:c>
      <x:c r="I19" s="15" t="str"/>
      <x:c r="J19" s="15" t="str">
        <x:v>未确认</x:v>
      </x:c>
      <x:c r="K19" s="20" t="n">
        <x:v>0</x:v>
      </x:c>
      <x:c r="L19" s="20" t="n">
        <x:v>0</x:v>
      </x:c>
      <x:c r="M19" s="20" t="n">
        <x:v>0</x:v>
      </x:c>
      <x:c r="N19" s="20" t="n">
        <x:v>0</x:v>
      </x:c>
      <x:c r="O19" s="20" t="n">
        <x:v>0</x:v>
      </x:c>
      <x:c r="P19" s="20" t="n">
        <x:v>0</x:v>
      </x:c>
      <x:c r="Q19" s="20" t="n">
        <x:v>0</x:v>
      </x:c>
      <x:c r="R19" s="15" t="str">
        <x:v>未确认</x:v>
      </x:c>
      <x:c r="S19" s="15" t="str">
        <x:v>https://www.bilibili.com/video/BV12NgBzfEFJ/</x:v>
      </x:c>
      <x:c r="T19" s="15" t="str"/>
      <x:c r="U19" s="15" t="str">
        <x:v>相关推荐卡片显示9.3万。</x:v>
      </x:c>
    </x:row>
    <x:row r="20">
      <x:c r="A20" s="15" t="str">
        <x:v>Bilibili</x:v>
      </x:c>
      <x:c r="B20" s="15" t="n">
        <x:v>19</x:v>
      </x:c>
      <x:c r="C20" s="18" t="n">
        <x:v>64000</x:v>
      </x:c>
      <x:c r="D20" s="15" t="str">
        <x:v>6.4万</x:v>
      </x:c>
      <x:c r="E20" s="15" t="str">
        <x:v>rounded</x:v>
      </x:c>
      <x:c r="F20" s="15" t="str">
        <x:v>【全100集】即梦AI视频制作保姆级教程</x:v>
      </x:c>
      <x:c r="G20" s="15" t="str">
        <x:v>BV1e69jBBE1P</x:v>
      </x:c>
      <x:c r="H20" s="15" t="str">
        <x:v>https://www.bilibili.com/video/BV1e69jBBE1P/</x:v>
      </x:c>
      <x:c r="I20" s="15" t="str">
        <x:v>即梦</x:v>
      </x:c>
      <x:c r="J20" s="15" t="str">
        <x:v>未确认</x:v>
      </x:c>
      <x:c r="K20" s="20" t="n">
        <x:v>0</x:v>
      </x:c>
      <x:c r="L20" s="20" t="n">
        <x:v>0</x:v>
      </x:c>
      <x:c r="M20" s="20" t="n">
        <x:v>0</x:v>
      </x:c>
      <x:c r="N20" s="20" t="n">
        <x:v>0</x:v>
      </x:c>
      <x:c r="O20" s="20" t="n">
        <x:v>0</x:v>
      </x:c>
      <x:c r="P20" s="20" t="n">
        <x:v>0</x:v>
      </x:c>
      <x:c r="Q20" s="20" t="n">
        <x:v>0</x:v>
      </x:c>
      <x:c r="R20" s="15" t="str">
        <x:v>未确认</x:v>
      </x:c>
      <x:c r="S20" s="15" t="str">
        <x:v>https://www.bilibili.com/video/BV1NHsxzhE9j/</x:v>
      </x:c>
      <x:c r="T20" s="15" t="str"/>
      <x:c r="U20" s="15" t="str">
        <x:v>相关推荐卡片显示6.4万。</x:v>
      </x:c>
    </x:row>
    <x:row r="21">
      <x:c r="A21" s="15" t="str">
        <x:v>Bilibili</x:v>
      </x:c>
      <x:c r="B21" s="15" t="n">
        <x:v>20</x:v>
      </x:c>
      <x:c r="C21" s="18" t="n">
        <x:v>62000</x:v>
      </x:c>
      <x:c r="D21" s="15" t="str">
        <x:v>6.2万</x:v>
      </x:c>
      <x:c r="E21" s="15" t="str">
        <x:v>rounded</x:v>
      </x:c>
      <x:c r="F21" s="15" t="str">
        <x:v>AI做《道诡异仙》动态漫，手把手教学</x:v>
      </x:c>
      <x:c r="G21" s="15" t="str">
        <x:v>BV1gQiCBPEoa</x:v>
      </x:c>
      <x:c r="H21" s="15" t="str">
        <x:v>https://www.bilibili.com/video/BV1gQiCBPEoa/</x:v>
      </x:c>
      <x:c r="I21" s="15" t="str"/>
      <x:c r="J21" s="15" t="str">
        <x:v>未确认</x:v>
      </x:c>
      <x:c r="K21" s="20" t="n">
        <x:v>0</x:v>
      </x:c>
      <x:c r="L21" s="20" t="n">
        <x:v>0</x:v>
      </x:c>
      <x:c r="M21" s="20" t="n">
        <x:v>0</x:v>
      </x:c>
      <x:c r="N21" s="20" t="n">
        <x:v>0</x:v>
      </x:c>
      <x:c r="O21" s="20" t="n">
        <x:v>0</x:v>
      </x:c>
      <x:c r="P21" s="20" t="n">
        <x:v>0</x:v>
      </x:c>
      <x:c r="Q21" s="20" t="n">
        <x:v>0</x:v>
      </x:c>
      <x:c r="R21" s="15" t="str">
        <x:v>未确认</x:v>
      </x:c>
      <x:c r="S21" s="15" t="str">
        <x:v>https://www.bilibili.com/video/BV1NHsxzhE9j/</x:v>
      </x:c>
      <x:c r="T21" s="15" t="str"/>
      <x:c r="U21" s="15" t="str">
        <x:v>相关推荐卡片显示6.2万。</x:v>
      </x:c>
    </x:row>
    <x:row r="22">
      <x:c r="A22" s="15" t="str">
        <x:v>Bilibili</x:v>
      </x:c>
      <x:c r="B22" s="15" t="n">
        <x:v>21</x:v>
      </x:c>
      <x:c r="C22" s="18" t="n">
        <x:v>53000</x:v>
      </x:c>
      <x:c r="D22" s="15" t="str">
        <x:v>5.3万</x:v>
      </x:c>
      <x:c r="E22" s="15" t="str">
        <x:v>rounded</x:v>
      </x:c>
      <x:c r="F22" s="15" t="str">
        <x:v>我用AI做了Q版西游记，手把手教学</x:v>
      </x:c>
      <x:c r="G22" s="15" t="str">
        <x:v>BV1ntMXzWEy9</x:v>
      </x:c>
      <x:c r="H22" s="15" t="str">
        <x:v>https://www.bilibili.com/video/BV1ntMXzWEy9/</x:v>
      </x:c>
      <x:c r="I22" s="15" t="str"/>
      <x:c r="J22" s="15" t="str">
        <x:v>未确认</x:v>
      </x:c>
      <x:c r="K22" s="20" t="n">
        <x:v>0</x:v>
      </x:c>
      <x:c r="L22" s="20" t="n">
        <x:v>0</x:v>
      </x:c>
      <x:c r="M22" s="20" t="n">
        <x:v>0</x:v>
      </x:c>
      <x:c r="N22" s="20" t="n">
        <x:v>0</x:v>
      </x:c>
      <x:c r="O22" s="20" t="n">
        <x:v>0</x:v>
      </x:c>
      <x:c r="P22" s="20" t="n">
        <x:v>0</x:v>
      </x:c>
      <x:c r="Q22" s="20" t="n">
        <x:v>0</x:v>
      </x:c>
      <x:c r="R22" s="15" t="str">
        <x:v>未确认</x:v>
      </x:c>
      <x:c r="S22" s="15" t="str">
        <x:v>https://www.bilibili.com/video/BV1NHsxzhE9j/</x:v>
      </x:c>
      <x:c r="T22" s="15" t="str"/>
      <x:c r="U22" s="15" t="str">
        <x:v>相关推荐卡片显示5.3万。</x:v>
      </x:c>
    </x:row>
    <x:row r="23">
      <x:c r="A23" s="15" t="str">
        <x:v>Bilibili</x:v>
      </x:c>
      <x:c r="B23" s="15" t="n">
        <x:v>22</x:v>
      </x:c>
      <x:c r="C23" s="18" t="n">
        <x:v>49000</x:v>
      </x:c>
      <x:c r="D23" s="15" t="str">
        <x:v>4.9万</x:v>
      </x:c>
      <x:c r="E23" s="15" t="str">
        <x:v>rounded</x:v>
      </x:c>
      <x:c r="F23" s="15" t="str">
        <x:v>10个作品涨粉50万，AI电影视频制作教学</x:v>
      </x:c>
      <x:c r="G23" s="15" t="str">
        <x:v>BV14Th1zPEs8</x:v>
      </x:c>
      <x:c r="H23" s="15" t="str">
        <x:v>https://www.bilibili.com/video/BV14Th1zPEs8/</x:v>
      </x:c>
      <x:c r="I23" s="15" t="str"/>
      <x:c r="J23" s="15" t="str">
        <x:v>未确认</x:v>
      </x:c>
      <x:c r="K23" s="20" t="n">
        <x:v>0</x:v>
      </x:c>
      <x:c r="L23" s="20" t="n">
        <x:v>0</x:v>
      </x:c>
      <x:c r="M23" s="20" t="n">
        <x:v>0</x:v>
      </x:c>
      <x:c r="N23" s="20" t="n">
        <x:v>0</x:v>
      </x:c>
      <x:c r="O23" s="20" t="n">
        <x:v>0</x:v>
      </x:c>
      <x:c r="P23" s="20" t="n">
        <x:v>0</x:v>
      </x:c>
      <x:c r="Q23" s="20" t="n">
        <x:v>0</x:v>
      </x:c>
      <x:c r="R23" s="15" t="str">
        <x:v>未确认</x:v>
      </x:c>
      <x:c r="S23" s="15" t="str">
        <x:v>https://www.bilibili.com/video/BV1NHsxzhE9j/</x:v>
      </x:c>
      <x:c r="T23" s="15" t="str"/>
      <x:c r="U23" s="15" t="str">
        <x:v>相关推荐卡片显示4.9万。</x:v>
      </x:c>
    </x:row>
    <x:row r="24">
      <x:c r="A24" s="15" t="str">
        <x:v>Bilibili</x:v>
      </x:c>
      <x:c r="B24" s="15" t="n">
        <x:v>23</x:v>
      </x:c>
      <x:c r="C24" s="18" t="n">
        <x:v>48000</x:v>
      </x:c>
      <x:c r="D24" s="15" t="str">
        <x:v>4.8万</x:v>
      </x:c>
      <x:c r="E24" s="15" t="str">
        <x:v>rounded</x:v>
      </x:c>
      <x:c r="F24" s="15" t="str">
        <x:v>北航90后副教授何静：剪映+即梦+可灵+sora教程</x:v>
      </x:c>
      <x:c r="G24" s="15" t="str">
        <x:v>BV13wiDBDEMC</x:v>
      </x:c>
      <x:c r="H24" s="15" t="str">
        <x:v>https://www.bilibili.com/video/BV13wiDBDEMC/</x:v>
      </x:c>
      <x:c r="I24" s="15" t="str">
        <x:v>即梦；可灵；Sora</x:v>
      </x:c>
      <x:c r="J24" s="15" t="str">
        <x:v>剪映</x:v>
      </x:c>
      <x:c r="K24" s="20" t="n">
        <x:v>1</x:v>
      </x:c>
      <x:c r="L24" s="20" t="n">
        <x:v>0</x:v>
      </x:c>
      <x:c r="M24" s="20" t="n">
        <x:v>0</x:v>
      </x:c>
      <x:c r="N24" s="20" t="n">
        <x:v>0</x:v>
      </x:c>
      <x:c r="O24" s="20" t="n">
        <x:v>0</x:v>
      </x:c>
      <x:c r="P24" s="20" t="n">
        <x:v>0</x:v>
      </x:c>
      <x:c r="Q24" s="20" t="n">
        <x:v>0</x:v>
      </x:c>
      <x:c r="R24" s="15" t="str">
        <x:v>标题明确</x:v>
      </x:c>
      <x:c r="S24" s="15" t="str">
        <x:v>https://www.bilibili.com/video/BV1NHsxzhE9j/</x:v>
      </x:c>
      <x:c r="T24" s="15" t="str">
        <x:v>https://www.bilibili.com/video/BV13wiDBDEMC/</x:v>
      </x:c>
      <x:c r="U24" s="15" t="str">
        <x:v>编辑器由标题明确。</x:v>
      </x:c>
    </x:row>
    <x:row r="25">
      <x:c r="A25" s="15" t="str">
        <x:v>Bilibili</x:v>
      </x:c>
      <x:c r="B25" s="15" t="n">
        <x:v>24</x:v>
      </x:c>
      <x:c r="C25" s="18" t="n">
        <x:v>47000</x:v>
      </x:c>
      <x:c r="D25" s="15" t="str">
        <x:v>4.7万</x:v>
      </x:c>
      <x:c r="E25" s="15" t="str">
        <x:v>rounded</x:v>
      </x:c>
      <x:c r="F25" s="15" t="str">
        <x:v>【全108集】AI视频保姆教程：脚本+绘画+剪辑全流程</x:v>
      </x:c>
      <x:c r="G25" s="15" t="str">
        <x:v>BV1Yj87z8EvM</x:v>
      </x:c>
      <x:c r="H25" s="15" t="str">
        <x:v>https://www.bilibili.com/video/BV1Yj87z8EvM/</x:v>
      </x:c>
      <x:c r="I25" s="15" t="str"/>
      <x:c r="J25" s="15" t="str">
        <x:v>未确认</x:v>
      </x:c>
      <x:c r="K25" s="20" t="n">
        <x:v>0</x:v>
      </x:c>
      <x:c r="L25" s="20" t="n">
        <x:v>0</x:v>
      </x:c>
      <x:c r="M25" s="20" t="n">
        <x:v>0</x:v>
      </x:c>
      <x:c r="N25" s="20" t="n">
        <x:v>0</x:v>
      </x:c>
      <x:c r="O25" s="20" t="n">
        <x:v>0</x:v>
      </x:c>
      <x:c r="P25" s="20" t="n">
        <x:v>0</x:v>
      </x:c>
      <x:c r="Q25" s="20" t="n">
        <x:v>0</x:v>
      </x:c>
      <x:c r="R25" s="15" t="str">
        <x:v>未确认</x:v>
      </x:c>
      <x:c r="S25" s="15" t="str">
        <x:v>https://www.bilibili.com/video/BV12NgBzfEFJ/</x:v>
      </x:c>
      <x:c r="T25" s="15" t="str"/>
      <x:c r="U25" s="15" t="str">
        <x:v>标题未指明具体编辑器。</x:v>
      </x:c>
    </x:row>
    <x:row r="26">
      <x:c r="A26" s="15" t="str">
        <x:v>Bilibili</x:v>
      </x:c>
      <x:c r="B26" s="15" t="n">
        <x:v>25</x:v>
      </x:c>
      <x:c r="C26" s="18" t="n">
        <x:v>46000</x:v>
      </x:c>
      <x:c r="D26" s="15" t="str">
        <x:v>4.6万</x:v>
      </x:c>
      <x:c r="E26" s="15" t="str">
        <x:v>rounded</x:v>
      </x:c>
      <x:c r="F26" s="15" t="str">
        <x:v>ComfyUI+GPT+即梦玩转AI影视赛道</x:v>
      </x:c>
      <x:c r="G26" s="15" t="str">
        <x:v>BV1Qa39znEnm</x:v>
      </x:c>
      <x:c r="H26" s="15" t="str">
        <x:v>https://www.bilibili.com/video/BV1Qa39znEnm/</x:v>
      </x:c>
      <x:c r="I26" s="15" t="str">
        <x:v>ComfyUI；GPT；即梦</x:v>
      </x:c>
      <x:c r="J26" s="15" t="str">
        <x:v>未确认</x:v>
      </x:c>
      <x:c r="K26" s="20" t="n">
        <x:v>0</x:v>
      </x:c>
      <x:c r="L26" s="20" t="n">
        <x:v>0</x:v>
      </x:c>
      <x:c r="M26" s="20" t="n">
        <x:v>0</x:v>
      </x:c>
      <x:c r="N26" s="20" t="n">
        <x:v>0</x:v>
      </x:c>
      <x:c r="O26" s="20" t="n">
        <x:v>0</x:v>
      </x:c>
      <x:c r="P26" s="20" t="n">
        <x:v>0</x:v>
      </x:c>
      <x:c r="Q26" s="20" t="n">
        <x:v>0</x:v>
      </x:c>
      <x:c r="R26" s="15" t="str">
        <x:v>未确认</x:v>
      </x:c>
      <x:c r="S26" s="15" t="str">
        <x:v>https://www.bilibili.com/video/BV12NgBzfEFJ/</x:v>
      </x:c>
      <x:c r="T26" s="15" t="str"/>
      <x:c r="U26" s="15" t="str">
        <x:v>相关推荐卡片显示4.6万。</x:v>
      </x:c>
    </x:row>
    <x:row r="27">
      <x:c r="A27" s="15" t="str">
        <x:v>Bilibili</x:v>
      </x:c>
      <x:c r="B27" s="15" t="n">
        <x:v>26</x:v>
      </x:c>
      <x:c r="C27" s="18" t="n">
        <x:v>45000</x:v>
      </x:c>
      <x:c r="D27" s="15" t="str">
        <x:v>4.5万</x:v>
      </x:c>
      <x:c r="E27" s="15" t="str">
        <x:v>rounded</x:v>
      </x:c>
      <x:c r="F27" s="15" t="str">
        <x:v>【全98集】即梦+剪映+deepseek：脚本、分镜、配音到剪辑全流程</x:v>
      </x:c>
      <x:c r="G27" s="15" t="str">
        <x:v>BV1X4uDzuEeY</x:v>
      </x:c>
      <x:c r="H27" s="15" t="str">
        <x:v>https://www.bilibili.com/video/BV1X4uDzuEeY/</x:v>
      </x:c>
      <x:c r="I27" s="15" t="str">
        <x:v>即梦；DeepSeek</x:v>
      </x:c>
      <x:c r="J27" s="15" t="str">
        <x:v>剪映</x:v>
      </x:c>
      <x:c r="K27" s="20" t="n">
        <x:v>1</x:v>
      </x:c>
      <x:c r="L27" s="20" t="n">
        <x:v>0</x:v>
      </x:c>
      <x:c r="M27" s="20" t="n">
        <x:v>0</x:v>
      </x:c>
      <x:c r="N27" s="20" t="n">
        <x:v>0</x:v>
      </x:c>
      <x:c r="O27" s="20" t="n">
        <x:v>0</x:v>
      </x:c>
      <x:c r="P27" s="20" t="n">
        <x:v>0</x:v>
      </x:c>
      <x:c r="Q27" s="20" t="n">
        <x:v>0</x:v>
      </x:c>
      <x:c r="R27" s="15" t="str">
        <x:v>标题明确</x:v>
      </x:c>
      <x:c r="S27" s="15" t="str">
        <x:v>https://www.bilibili.com/video/BV12NgBzfEFJ/</x:v>
      </x:c>
      <x:c r="T27" s="15" t="str">
        <x:v>https://www.bilibili.com/video/BV1X4uDzuEeY/</x:v>
      </x:c>
      <x:c r="U27" s="15" t="str">
        <x:v>编辑器由标题明确。</x:v>
      </x:c>
    </x:row>
    <x:row r="28">
      <x:c r="A28" s="15" t="str">
        <x:v>Bilibili</x:v>
      </x:c>
      <x:c r="B28" s="15" t="n">
        <x:v>27</x:v>
      </x:c>
      <x:c r="C28" s="18" t="n">
        <x:v>41000</x:v>
      </x:c>
      <x:c r="D28" s="15" t="str">
        <x:v>4.1万</x:v>
      </x:c>
      <x:c r="E28" s="15" t="str">
        <x:v>rounded</x:v>
      </x:c>
      <x:c r="F28" s="15" t="str">
        <x:v>纯手搓一部AI短剧一个月收获3.1w！附教程！全流程演示</x:v>
      </x:c>
      <x:c r="G28" s="15" t="str">
        <x:v>BV1XMgh6eEWA</x:v>
      </x:c>
      <x:c r="H28" s="15" t="str">
        <x:v>https://www.bilibili.com/video/BV1XMgh6eEWA/</x:v>
      </x:c>
      <x:c r="I28" s="15" t="str"/>
      <x:c r="J28" s="15" t="str">
        <x:v>未确认</x:v>
      </x:c>
      <x:c r="K28" s="20" t="n">
        <x:v>0</x:v>
      </x:c>
      <x:c r="L28" s="20" t="n">
        <x:v>0</x:v>
      </x:c>
      <x:c r="M28" s="20" t="n">
        <x:v>0</x:v>
      </x:c>
      <x:c r="N28" s="20" t="n">
        <x:v>0</x:v>
      </x:c>
      <x:c r="O28" s="20" t="n">
        <x:v>0</x:v>
      </x:c>
      <x:c r="P28" s="20" t="n">
        <x:v>0</x:v>
      </x:c>
      <x:c r="Q28" s="20" t="n">
        <x:v>0</x:v>
      </x:c>
      <x:c r="R28" s="15" t="str">
        <x:v>未确认</x:v>
      </x:c>
      <x:c r="S28" s="15" t="str">
        <x:v>https://www.bilibili.com/video/BV1NHsxzhE9j/</x:v>
      </x:c>
      <x:c r="T28" s="15" t="str"/>
      <x:c r="U28" s="15" t="str">
        <x:v>相关推荐卡片显示4.1万。</x:v>
      </x:c>
    </x:row>
    <x:row r="29">
      <x:c r="A29" s="15" t="str">
        <x:v>Bilibili</x:v>
      </x:c>
      <x:c r="B29" s="15" t="n">
        <x:v>28</x:v>
      </x:c>
      <x:c r="C29" s="18" t="n">
        <x:v>37000</x:v>
      </x:c>
      <x:c r="D29" s="15" t="str">
        <x:v>3.7万</x:v>
      </x:c>
      <x:c r="E29" s="15" t="str">
        <x:v>rounded</x:v>
      </x:c>
      <x:c r="F29" s="15" t="str">
        <x:v>B站核弹级AI影视教程：updream保姆级教学</x:v>
      </x:c>
      <x:c r="G29" s="15" t="str">
        <x:v>BV1F5dFBuEmg</x:v>
      </x:c>
      <x:c r="H29" s="15" t="str">
        <x:v>https://www.bilibili.com/video/BV1F5dFBuEmg/</x:v>
      </x:c>
      <x:c r="I29" s="15" t="str">
        <x:v>Updream</x:v>
      </x:c>
      <x:c r="J29" s="15" t="str">
        <x:v>未确认</x:v>
      </x:c>
      <x:c r="K29" s="20" t="n">
        <x:v>0</x:v>
      </x:c>
      <x:c r="L29" s="20" t="n">
        <x:v>0</x:v>
      </x:c>
      <x:c r="M29" s="20" t="n">
        <x:v>0</x:v>
      </x:c>
      <x:c r="N29" s="20" t="n">
        <x:v>0</x:v>
      </x:c>
      <x:c r="O29" s="20" t="n">
        <x:v>0</x:v>
      </x:c>
      <x:c r="P29" s="20" t="n">
        <x:v>0</x:v>
      </x:c>
      <x:c r="Q29" s="20" t="n">
        <x:v>0</x:v>
      </x:c>
      <x:c r="R29" s="15" t="str">
        <x:v>未确认</x:v>
      </x:c>
      <x:c r="S29" s="15" t="str">
        <x:v>https://www.bilibili.com/video/BV1NHsxzhE9j/</x:v>
      </x:c>
      <x:c r="T29" s="15" t="str"/>
      <x:c r="U29" s="15" t="str">
        <x:v>相关推荐卡片显示3.7万。</x:v>
      </x:c>
    </x:row>
    <x:row r="30">
      <x:c r="A30" s="15" t="str">
        <x:v>Bilibili</x:v>
      </x:c>
      <x:c r="B30" s="15" t="n">
        <x:v>29</x:v>
      </x:c>
      <x:c r="C30" s="18" t="n">
        <x:v>36000</x:v>
      </x:c>
      <x:c r="D30" s="15" t="str">
        <x:v>3.6万</x:v>
      </x:c>
      <x:c r="E30" s="15" t="str">
        <x:v>rounded</x:v>
      </x:c>
      <x:c r="F30" s="15" t="str">
        <x:v>《张骞出使西域》AIGC微短剧，手把手教学</x:v>
      </x:c>
      <x:c r="G30" s="15" t="str">
        <x:v>BV1x7MXzcEu7</x:v>
      </x:c>
      <x:c r="H30" s="15" t="str">
        <x:v>https://www.bilibili.com/video/BV1x7MXzcEu7/</x:v>
      </x:c>
      <x:c r="I30" s="15" t="str"/>
      <x:c r="J30" s="15" t="str">
        <x:v>未确认</x:v>
      </x:c>
      <x:c r="K30" s="20" t="n">
        <x:v>0</x:v>
      </x:c>
      <x:c r="L30" s="20" t="n">
        <x:v>0</x:v>
      </x:c>
      <x:c r="M30" s="20" t="n">
        <x:v>0</x:v>
      </x:c>
      <x:c r="N30" s="20" t="n">
        <x:v>0</x:v>
      </x:c>
      <x:c r="O30" s="20" t="n">
        <x:v>0</x:v>
      </x:c>
      <x:c r="P30" s="20" t="n">
        <x:v>0</x:v>
      </x:c>
      <x:c r="Q30" s="20" t="n">
        <x:v>0</x:v>
      </x:c>
      <x:c r="R30" s="15" t="str">
        <x:v>未确认</x:v>
      </x:c>
      <x:c r="S30" s="15" t="str">
        <x:v>https://www.bilibili.com/video/BV12NgBzfEFJ/</x:v>
      </x:c>
      <x:c r="T30" s="15" t="str"/>
      <x:c r="U30" s="15" t="str">
        <x:v>相关推荐卡片显示3.6万。</x:v>
      </x:c>
    </x:row>
    <x:row r="31">
      <x:c r="A31" s="15" t="str">
        <x:v>Bilibili</x:v>
      </x:c>
      <x:c r="B31" s="15" t="n">
        <x:v>30</x:v>
      </x:c>
      <x:c r="C31" s="18" t="n">
        <x:v>36000</x:v>
      </x:c>
      <x:c r="D31" s="15" t="str">
        <x:v>3.6万</x:v>
      </x:c>
      <x:c r="E31" s="15" t="str">
        <x:v>rounded</x:v>
      </x:c>
      <x:c r="F31" s="15" t="str">
        <x:v>用AI做《火影忍者》真人版概念电影，手把手教学</x:v>
      </x:c>
      <x:c r="G31" s="15" t="str">
        <x:v>BV1v5Hez4EsA</x:v>
      </x:c>
      <x:c r="H31" s="15" t="str">
        <x:v>https://www.bilibili.com/video/BV1v5Hez4EsA/</x:v>
      </x:c>
      <x:c r="I31" s="15" t="str"/>
      <x:c r="J31" s="15" t="str">
        <x:v>未确认</x:v>
      </x:c>
      <x:c r="K31" s="20" t="n">
        <x:v>0</x:v>
      </x:c>
      <x:c r="L31" s="20" t="n">
        <x:v>0</x:v>
      </x:c>
      <x:c r="M31" s="20" t="n">
        <x:v>0</x:v>
      </x:c>
      <x:c r="N31" s="20" t="n">
        <x:v>0</x:v>
      </x:c>
      <x:c r="O31" s="20" t="n">
        <x:v>0</x:v>
      </x:c>
      <x:c r="P31" s="20" t="n">
        <x:v>0</x:v>
      </x:c>
      <x:c r="Q31" s="20" t="n">
        <x:v>0</x:v>
      </x:c>
      <x:c r="R31" s="15" t="str">
        <x:v>未确认</x:v>
      </x:c>
      <x:c r="S31" s="15" t="str">
        <x:v>https://www.bilibili.com/video/BV1NHsxzhE9j/</x:v>
      </x:c>
      <x:c r="T31" s="15" t="str"/>
      <x:c r="U31" s="15" t="str">
        <x:v>相关推荐卡片显示3.6万。</x:v>
      </x:c>
    </x:row>
    <x:row r="32">
      <x:c r="A32" s="15" t="str">
        <x:v>YouTube</x:v>
      </x:c>
      <x:c r="B32" s="15" t="n">
        <x:v>1</x:v>
      </x:c>
      <x:c r="C32" s="18" t="n">
        <x:v>1900000</x:v>
      </x:c>
      <x:c r="D32" s="15" t="str">
        <x:v>1.9M</x:v>
      </x:c>
      <x:c r="E32" s="15" t="str">
        <x:v>rounded</x:v>
      </x:c>
      <x:c r="F32" s="15" t="str">
        <x:v>How to Create A Short Film with AI | Midjourney &amp; RunwayML Tutorial</x:v>
      </x:c>
      <x:c r="G32" s="15" t="str">
        <x:v>6qOjhiYvmgE</x:v>
      </x:c>
      <x:c r="H32" s="15" t="str">
        <x:v>https://www.youtube.com/watch?v=6qOjhiYvmgE</x:v>
      </x:c>
      <x:c r="I32" s="15" t="str">
        <x:v>Midjourney；Runway</x:v>
      </x:c>
      <x:c r="J32" s="15" t="str">
        <x:v>未确认</x:v>
      </x:c>
      <x:c r="K32" s="20" t="n">
        <x:v>0</x:v>
      </x:c>
      <x:c r="L32" s="20" t="n">
        <x:v>0</x:v>
      </x:c>
      <x:c r="M32" s="20" t="n">
        <x:v>0</x:v>
      </x:c>
      <x:c r="N32" s="20" t="n">
        <x:v>0</x:v>
      </x:c>
      <x:c r="O32" s="20" t="n">
        <x:v>0</x:v>
      </x:c>
      <x:c r="P32" s="20" t="n">
        <x:v>0</x:v>
      </x:c>
      <x:c r="Q32" s="20" t="n">
        <x:v>0</x:v>
      </x:c>
      <x:c r="R32" s="15" t="str">
        <x:v>未确认</x:v>
      </x:c>
      <x:c r="S32" s="15" t="str">
        <x:v>https://www.youtube.com/watch?v=6qOjhiYvmgE</x:v>
      </x:c>
      <x:c r="T32" s="15" t="str"/>
      <x:c r="U32" s="15" t="str">
        <x:v>高播放经典AI短片教程；后期软件不做未核验推断。</x:v>
      </x:c>
    </x:row>
    <x:row r="33">
      <x:c r="A33" s="15" t="str">
        <x:v>YouTube</x:v>
      </x:c>
      <x:c r="B33" s="15" t="n">
        <x:v>2</x:v>
      </x:c>
      <x:c r="C33" s="18" t="n">
        <x:v>1600000</x:v>
      </x:c>
      <x:c r="D33" s="15" t="str">
        <x:v>1.6M</x:v>
      </x:c>
      <x:c r="E33" s="15" t="str">
        <x:v>rounded</x:v>
      </x:c>
      <x:c r="F33" s="15" t="str">
        <x:v>How to Make 3D Animation MOVIE with AI</x:v>
      </x:c>
      <x:c r="G33" s="15" t="str">
        <x:v>amFOIYqN6dM</x:v>
      </x:c>
      <x:c r="H33" s="15" t="str">
        <x:v>https://www.youtube.com/watch?v=amFOIYqN6dM</x:v>
      </x:c>
      <x:c r="I33" s="15" t="str">
        <x:v>Runway等</x:v>
      </x:c>
      <x:c r="J33" s="15" t="str">
        <x:v>Clipchamp</x:v>
      </x:c>
      <x:c r="K33" s="20" t="n">
        <x:v>0</x:v>
      </x:c>
      <x:c r="L33" s="20" t="n">
        <x:v>0</x:v>
      </x:c>
      <x:c r="M33" s="20" t="n">
        <x:v>0</x:v>
      </x:c>
      <x:c r="N33" s="20" t="n">
        <x:v>0</x:v>
      </x:c>
      <x:c r="O33" s="20" t="n">
        <x:v>0</x:v>
      </x:c>
      <x:c r="P33" s="20" t="n">
        <x:v>1</x:v>
      </x:c>
      <x:c r="Q33" s="20" t="n">
        <x:v>0</x:v>
      </x:c>
      <x:c r="R33" s="15" t="str">
        <x:v>工作流复盘明确</x:v>
      </x:c>
      <x:c r="S33" s="15" t="str">
        <x:v>https://www.youtube.com/watch?v=amFOIYqN6dM</x:v>
      </x:c>
      <x:c r="T33" s="15" t="str">
        <x:v>https://cbvr.com.br/post/criando-filmes-de-animacao-3d-com-ia-um-guia-completo/</x:v>
      </x:c>
      <x:c r="U33" s="15" t="str">
        <x:v>复盘明确最终用Clipchamp组合场景和编辑。</x:v>
      </x:c>
    </x:row>
    <x:row r="34">
      <x:c r="A34" s="15" t="str">
        <x:v>YouTube</x:v>
      </x:c>
      <x:c r="B34" s="15" t="n">
        <x:v>3</x:v>
      </x:c>
      <x:c r="C34" s="18" t="n">
        <x:v>1220000</x:v>
      </x:c>
      <x:c r="D34" s="15" t="str">
        <x:v>1.22M</x:v>
      </x:c>
      <x:c r="E34" s="15" t="str">
        <x:v>current third-party</x:v>
      </x:c>
      <x:c r="F34" s="15" t="str">
        <x:v>How to Create Full Animated Stories Using ChatGPT Images</x:v>
      </x:c>
      <x:c r="G34" s="15" t="str">
        <x:v>9yvQTR2siPM</x:v>
      </x:c>
      <x:c r="H34" s="15" t="str">
        <x:v>https://www.youtube.com/watch?v=9yvQTR2siPM</x:v>
      </x:c>
      <x:c r="I34" s="15" t="str">
        <x:v>ChatGPT Images；Runway等</x:v>
      </x:c>
      <x:c r="J34" s="15" t="str">
        <x:v>CapCut</x:v>
      </x:c>
      <x:c r="K34" s="20" t="n">
        <x:v>0</x:v>
      </x:c>
      <x:c r="L34" s="20" t="n">
        <x:v>1</x:v>
      </x:c>
      <x:c r="M34" s="20" t="n">
        <x:v>0</x:v>
      </x:c>
      <x:c r="N34" s="20" t="n">
        <x:v>0</x:v>
      </x:c>
      <x:c r="O34" s="20" t="n">
        <x:v>0</x:v>
      </x:c>
      <x:c r="P34" s="20" t="n">
        <x:v>0</x:v>
      </x:c>
      <x:c r="Q34" s="20" t="n">
        <x:v>0</x:v>
      </x:c>
      <x:c r="R34" s="15" t="str">
        <x:v>转录明确</x:v>
      </x:c>
      <x:c r="S34" s="15" t="str">
        <x:v>https://vidiq.com/youtube-stats/channel/%40emmanuelcrown/</x:v>
      </x:c>
      <x:c r="T34" s="15" t="str">
        <x:v>https://ytscribe.com/v/9yvQTR2siPM</x:v>
      </x:c>
      <x:c r="U34" s="15" t="str">
        <x:v>vidIQ 2026-08-12列为1.22M；转录明确介绍CapCut。</x:v>
      </x:c>
    </x:row>
    <x:row r="35">
      <x:c r="A35" s="15" t="str">
        <x:v>YouTube</x:v>
      </x:c>
      <x:c r="B35" s="15" t="n">
        <x:v>4</x:v>
      </x:c>
      <x:c r="C35" s="18" t="n">
        <x:v>968243</x:v>
      </x:c>
      <x:c r="D35" s="15" t="str">
        <x:v>968,243</x:v>
      </x:c>
      <x:c r="E35" s="15" t="str">
        <x:v>indexed snapshot</x:v>
      </x:c>
      <x:c r="F35" s="15" t="str">
        <x:v>Unbelievable AI Movie: Create ENTIRE FILM with AI!</x:v>
      </x:c>
      <x:c r="G35" s="15" t="str">
        <x:v>XBZMJDdlPz8</x:v>
      </x:c>
      <x:c r="H35" s="15" t="str">
        <x:v>https://www.youtube.com/watch?v=XBZMJDdlPz8</x:v>
      </x:c>
      <x:c r="I35" s="15" t="str">
        <x:v>GravityWrite；Midjourney/Playground；Runway；ElevenLabs等</x:v>
      </x:c>
      <x:c r="J35" s="15" t="str">
        <x:v>Clipchamp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20" t="n">
        <x:v>0</x:v>
      </x:c>
      <x:c r="P35" s="20" t="n">
        <x:v>1</x:v>
      </x:c>
      <x:c r="Q35" s="20" t="n">
        <x:v>0</x:v>
      </x:c>
      <x:c r="R35" s="15" t="str">
        <x:v>转录明确</x:v>
      </x:c>
      <x:c r="S35" s="15" t="str">
        <x:v>https://www.youtube.com/watch?v=XBZMJDdlPz8</x:v>
      </x:c>
      <x:c r="T35" s="15" t="str">
        <x:v>https://videohighlight.com/</x:v>
      </x:c>
      <x:c r="U35" s="15" t="str">
        <x:v>章节/转录明确在Clipchamp中组合剪辑。</x:v>
      </x:c>
    </x:row>
    <x:row r="36">
      <x:c r="A36" s="15" t="str">
        <x:v>YouTube</x:v>
      </x:c>
      <x:c r="B36" s="15" t="n">
        <x:v>5</x:v>
      </x:c>
      <x:c r="C36" s="18" t="n">
        <x:v>379000</x:v>
      </x:c>
      <x:c r="D36" s="15" t="str">
        <x:v>379K</x:v>
      </x:c>
      <x:c r="E36" s="15" t="str">
        <x:v>rounded</x:v>
      </x:c>
      <x:c r="F36" s="15" t="str">
        <x:v>How To Make an AI Animated Short Film (Full Workflow)</x:v>
      </x:c>
      <x:c r="G36" s="15" t="str">
        <x:v>zYPgz6sOy74</x:v>
      </x:c>
      <x:c r="H36" s="15" t="str">
        <x:v>https://www.youtube.com/watch?v=zYPgz6sOy74</x:v>
      </x:c>
      <x:c r="I36" s="15" t="str">
        <x:v>Higgsfield等</x:v>
      </x:c>
      <x:c r="J36" s="15" t="str">
        <x:v>未确认</x:v>
      </x:c>
      <x:c r="K36" s="20" t="n">
        <x:v>0</x:v>
      </x:c>
      <x:c r="L36" s="20" t="n">
        <x:v>0</x:v>
      </x:c>
      <x:c r="M36" s="20" t="n">
        <x:v>0</x:v>
      </x:c>
      <x:c r="N36" s="20" t="n">
        <x:v>0</x:v>
      </x:c>
      <x:c r="O36" s="20" t="n">
        <x:v>0</x:v>
      </x:c>
      <x:c r="P36" s="20" t="n">
        <x:v>0</x:v>
      </x:c>
      <x:c r="Q36" s="20" t="n">
        <x:v>0</x:v>
      </x:c>
      <x:c r="R36" s="15" t="str">
        <x:v>未确认</x:v>
      </x:c>
      <x:c r="S36" s="15" t="str">
        <x:v>https://www.youtube.com/watch?v=zYPgz6sOy74</x:v>
      </x:c>
      <x:c r="T36" s="15" t="str"/>
      <x:c r="U36" s="15" t="str">
        <x:v>完整工作流。</x:v>
      </x:c>
    </x:row>
    <x:row r="37">
      <x:c r="A37" s="15" t="str">
        <x:v>YouTube</x:v>
      </x:c>
      <x:c r="B37" s="15" t="n">
        <x:v>6</x:v>
      </x:c>
      <x:c r="C37" s="18" t="n">
        <x:v>379000</x:v>
      </x:c>
      <x:c r="D37" s="15" t="str">
        <x:v>379K</x:v>
      </x:c>
      <x:c r="E37" s="15" t="str">
        <x:v>rounded</x:v>
      </x:c>
      <x:c r="F37" s="15" t="str">
        <x:v>Create an AI-Generated Film From Scratch in Hours: The Ultimate Filmmaker's Workflow</x:v>
      </x:c>
      <x:c r="G37" s="15" t="str">
        <x:v>VhwyZ9hWc84</x:v>
      </x:c>
      <x:c r="H37" s="15" t="str">
        <x:v>https://www.youtube.com/watch?v=VhwyZ9hWc84</x:v>
      </x:c>
      <x:c r="I37" s="15" t="str">
        <x:v>AI生成工具</x:v>
      </x:c>
      <x:c r="J37" s="15" t="str">
        <x:v>DaVinci Resolve</x:v>
      </x:c>
      <x:c r="K37" s="20" t="n">
        <x:v>0</x:v>
      </x:c>
      <x:c r="L37" s="20" t="n">
        <x:v>0</x:v>
      </x:c>
      <x:c r="M37" s="20" t="n">
        <x:v>0</x:v>
      </x:c>
      <x:c r="N37" s="20" t="n">
        <x:v>0</x:v>
      </x:c>
      <x:c r="O37" s="20" t="n">
        <x:v>1</x:v>
      </x:c>
      <x:c r="P37" s="20" t="n">
        <x:v>0</x:v>
      </x:c>
      <x:c r="Q37" s="20" t="n">
        <x:v>0</x:v>
      </x:c>
      <x:c r="R37" s="15" t="str">
        <x:v>视频描述明确</x:v>
      </x:c>
      <x:c r="S37" s="15" t="str">
        <x:v>https://www.youtube.com/watch?v=VhwyZ9hWc84</x:v>
      </x:c>
      <x:c r="T37" s="15" t="str">
        <x:v>https://www.youtube.com/watch?v=VhwyZ9hWc84</x:v>
      </x:c>
      <x:c r="U37" s="15" t="str">
        <x:v>描述明确DaVinci Resolve用于polished final cut。</x:v>
      </x:c>
    </x:row>
    <x:row r="38">
      <x:c r="A38" s="15" t="str">
        <x:v>YouTube</x:v>
      </x:c>
      <x:c r="B38" s="15" t="n">
        <x:v>7</x:v>
      </x:c>
      <x:c r="C38" s="18" t="n">
        <x:v>375000</x:v>
      </x:c>
      <x:c r="D38" s="15" t="str">
        <x:v>375K</x:v>
      </x:c>
      <x:c r="E38" s="15" t="str">
        <x:v>rounded</x:v>
      </x:c>
      <x:c r="F38" s="15" t="str">
        <x:v>Generate ENTIRE MOVIES with AI! Full Tutorial + FREE options</x:v>
      </x:c>
      <x:c r="G38" s="15" t="str">
        <x:v>nTLuH-uRaZ8</x:v>
      </x:c>
      <x:c r="H38" s="15" t="str">
        <x:v>https://www.youtube.com/watch?v=nTLuH-uRaZ8</x:v>
      </x:c>
      <x:c r="I38" s="15" t="str">
        <x:v>多种AI生成工具</x:v>
      </x:c>
      <x:c r="J38" s="15" t="str">
        <x:v>未确认</x:v>
      </x:c>
      <x:c r="K38" s="20" t="n">
        <x:v>0</x:v>
      </x:c>
      <x:c r="L38" s="20" t="n">
        <x:v>0</x:v>
      </x:c>
      <x:c r="M38" s="20" t="n">
        <x:v>0</x:v>
      </x:c>
      <x:c r="N38" s="20" t="n">
        <x:v>0</x:v>
      </x:c>
      <x:c r="O38" s="20" t="n">
        <x:v>0</x:v>
      </x:c>
      <x:c r="P38" s="20" t="n">
        <x:v>0</x:v>
      </x:c>
      <x:c r="Q38" s="20" t="n">
        <x:v>0</x:v>
      </x:c>
      <x:c r="R38" s="15" t="str">
        <x:v>未确认</x:v>
      </x:c>
      <x:c r="S38" s="15" t="str">
        <x:v>https://www.youtube.com/watch?v=6qOjhiYvmgE</x:v>
      </x:c>
      <x:c r="T38" s="15" t="str"/>
      <x:c r="U38" s="15" t="str">
        <x:v>相关推荐卡片抓取约375K。</x:v>
      </x:c>
    </x:row>
    <x:row r="39">
      <x:c r="A39" s="15" t="str">
        <x:v>YouTube</x:v>
      </x:c>
      <x:c r="B39" s="15" t="n">
        <x:v>8</x:v>
      </x:c>
      <x:c r="C39" s="18" t="n">
        <x:v>324000</x:v>
      </x:c>
      <x:c r="D39" s="15" t="str">
        <x:v>324K</x:v>
      </x:c>
      <x:c r="E39" s="15" t="str">
        <x:v>rounded</x:v>
      </x:c>
      <x:c r="F39" s="15" t="str">
        <x:v>Masterclass: AI film Directing – Create Stunning Cinematic Shots!</x:v>
      </x:c>
      <x:c r="G39" s="15" t="str">
        <x:v>UlFruPnlnQA</x:v>
      </x:c>
      <x:c r="H39" s="15" t="str">
        <x:v>https://www.youtube.com/watch?v=UlFruPnlnQA</x:v>
      </x:c>
      <x:c r="I39" s="15" t="str">
        <x:v>Midjourney；Kaiber；Runway</x:v>
      </x:c>
      <x:c r="J39" s="15" t="str">
        <x:v>Adobe Creative Suite（Premiere/AE）</x:v>
      </x:c>
      <x:c r="K39" s="20" t="n">
        <x:v>0</x:v>
      </x:c>
      <x:c r="L39" s="20" t="n">
        <x:v>0</x:v>
      </x:c>
      <x:c r="M39" s="20" t="n">
        <x:v>1</x:v>
      </x:c>
      <x:c r="N39" s="20" t="n">
        <x:v>1</x:v>
      </x:c>
      <x:c r="O39" s="20" t="n">
        <x:v>0</x:v>
      </x:c>
      <x:c r="P39" s="20" t="n">
        <x:v>0</x:v>
      </x:c>
      <x:c r="Q39" s="20" t="n">
        <x:v>1</x:v>
      </x:c>
      <x:c r="R39" s="15" t="str">
        <x:v>转录明确</x:v>
      </x:c>
      <x:c r="S39" s="15" t="str">
        <x:v>https://www.youtube.com/watch?v=h6a9I08MAHY</x:v>
      </x:c>
      <x:c r="T39" s="15" t="str">
        <x:v>https://lilys.ai/ar/notes/1046101</x:v>
      </x:c>
      <x:c r="U39" s="15" t="str">
        <x:v>转录：全部镜头最后经Adobe Creative Suite编辑，并具体讲到Premiere。</x:v>
      </x:c>
    </x:row>
    <x:row r="40">
      <x:c r="A40" s="15" t="str">
        <x:v>YouTube</x:v>
      </x:c>
      <x:c r="B40" s="15" t="n">
        <x:v>9</x:v>
      </x:c>
      <x:c r="C40" s="18" t="n">
        <x:v>322000</x:v>
      </x:c>
      <x:c r="D40" s="15" t="str">
        <x:v>322K</x:v>
      </x:c>
      <x:c r="E40" s="15" t="str">
        <x:v>rounded</x:v>
      </x:c>
      <x:c r="F40" s="15" t="str">
        <x:v>AI Filmmaking Complete Workflow (Full Step-By-Step Roadmap)</x:v>
      </x:c>
      <x:c r="G40" s="15" t="str">
        <x:v>221dH0j07Ic</x:v>
      </x:c>
      <x:c r="H40" s="15" t="str">
        <x:v>https://www.youtube.com/watch?v=221dH0j07Ic</x:v>
      </x:c>
      <x:c r="I40" s="15" t="str">
        <x:v>多种AI生成工具</x:v>
      </x:c>
      <x:c r="J40" s="15" t="str">
        <x:v>未确认</x:v>
      </x:c>
      <x:c r="K40" s="20" t="n">
        <x:v>0</x:v>
      </x:c>
      <x:c r="L40" s="20" t="n">
        <x:v>0</x:v>
      </x:c>
      <x:c r="M40" s="20" t="n">
        <x:v>0</x:v>
      </x:c>
      <x:c r="N40" s="20" t="n">
        <x:v>0</x:v>
      </x:c>
      <x:c r="O40" s="20" t="n">
        <x:v>0</x:v>
      </x:c>
      <x:c r="P40" s="20" t="n">
        <x:v>0</x:v>
      </x:c>
      <x:c r="Q40" s="20" t="n">
        <x:v>0</x:v>
      </x:c>
      <x:c r="R40" s="15" t="str">
        <x:v>未确认</x:v>
      </x:c>
      <x:c r="S40" s="15" t="str">
        <x:v>https://www.youtube.com/watch?v=221dH0j07Ic</x:v>
      </x:c>
      <x:c r="T40" s="15" t="str"/>
      <x:c r="U40" s="15" t="str">
        <x:v>完整AI filmmaking roadmap。</x:v>
      </x:c>
    </x:row>
    <x:row r="41">
      <x:c r="A41" s="15" t="str">
        <x:v>YouTube</x:v>
      </x:c>
      <x:c r="B41" s="15" t="n">
        <x:v>10</x:v>
      </x:c>
      <x:c r="C41" s="18" t="n">
        <x:v>321000</x:v>
      </x:c>
      <x:c r="D41" s="15" t="str">
        <x:v>321K</x:v>
      </x:c>
      <x:c r="E41" s="15" t="str">
        <x:v>rounded</x:v>
      </x:c>
      <x:c r="F41" s="15" t="str">
        <x:v>How To Make AI Films? (Full Tutorial for Beginners)</x:v>
      </x:c>
      <x:c r="G41" s="15" t="str">
        <x:v>FX-2Kes7XR8</x:v>
      </x:c>
      <x:c r="H41" s="15" t="str">
        <x:v>https://www.youtube.com/watch?v=FX-2Kes7XR8</x:v>
      </x:c>
      <x:c r="I41" s="15" t="str">
        <x:v>多种AI工具</x:v>
      </x:c>
      <x:c r="J41" s="15" t="str">
        <x:v>未确认</x:v>
      </x:c>
      <x:c r="K41" s="20" t="n">
        <x:v>0</x:v>
      </x:c>
      <x:c r="L41" s="20" t="n">
        <x:v>0</x:v>
      </x:c>
      <x:c r="M41" s="20" t="n">
        <x:v>0</x:v>
      </x:c>
      <x:c r="N41" s="20" t="n">
        <x:v>0</x:v>
      </x:c>
      <x:c r="O41" s="20" t="n">
        <x:v>0</x:v>
      </x:c>
      <x:c r="P41" s="20" t="n">
        <x:v>0</x:v>
      </x:c>
      <x:c r="Q41" s="20" t="n">
        <x:v>0</x:v>
      </x:c>
      <x:c r="R41" s="15" t="str">
        <x:v>未确认</x:v>
      </x:c>
      <x:c r="S41" s="15" t="str">
        <x:v>https://www.youtube.com/watch?v=FX-2Kes7XR8</x:v>
      </x:c>
      <x:c r="T41" s="15" t="str"/>
      <x:c r="U41" s="15" t="str">
        <x:v>完整入门教程。</x:v>
      </x:c>
    </x:row>
    <x:row r="42">
      <x:c r="A42" s="15" t="str">
        <x:v>YouTube</x:v>
      </x:c>
      <x:c r="B42" s="15" t="n">
        <x:v>11</x:v>
      </x:c>
      <x:c r="C42" s="18" t="n">
        <x:v>289000</x:v>
      </x:c>
      <x:c r="D42" s="15" t="str">
        <x:v>289K</x:v>
      </x:c>
      <x:c r="E42" s="15" t="str">
        <x:v>rounded</x:v>
      </x:c>
      <x:c r="F42" s="15" t="str">
        <x:v>The Complete AI Short Film Workflow Everyone's Missing</x:v>
      </x:c>
      <x:c r="G42" s="15" t="str">
        <x:v>tW40b122Rbs</x:v>
      </x:c>
      <x:c r="H42" s="15" t="str">
        <x:v>https://www.youtube.com/watch?v=tW40b122Rbs</x:v>
      </x:c>
      <x:c r="I42" s="15" t="str">
        <x:v>Higgsfield等</x:v>
      </x:c>
      <x:c r="J42" s="15" t="str">
        <x:v>未确认</x:v>
      </x:c>
      <x:c r="K42" s="20" t="n">
        <x:v>0</x:v>
      </x:c>
      <x:c r="L42" s="20" t="n">
        <x:v>0</x:v>
      </x:c>
      <x:c r="M42" s="20" t="n">
        <x:v>0</x:v>
      </x:c>
      <x:c r="N42" s="20" t="n">
        <x:v>0</x:v>
      </x:c>
      <x:c r="O42" s="20" t="n">
        <x:v>0</x:v>
      </x:c>
      <x:c r="P42" s="20" t="n">
        <x:v>0</x:v>
      </x:c>
      <x:c r="Q42" s="20" t="n">
        <x:v>0</x:v>
      </x:c>
      <x:c r="R42" s="15" t="str">
        <x:v>未确认</x:v>
      </x:c>
      <x:c r="S42" s="15" t="str">
        <x:v>https://www.youtube.com/watch?v=tW40b122Rbs</x:v>
      </x:c>
      <x:c r="T42" s="15" t="str"/>
      <x:c r="U42" s="15" t="str">
        <x:v>完整短片工作流。</x:v>
      </x:c>
    </x:row>
    <x:row r="43">
      <x:c r="A43" s="15" t="str">
        <x:v>YouTube</x:v>
      </x:c>
      <x:c r="B43" s="15" t="n">
        <x:v>12</x:v>
      </x:c>
      <x:c r="C43" s="18" t="n">
        <x:v>286000</x:v>
      </x:c>
      <x:c r="D43" s="15" t="str">
        <x:v>286K</x:v>
      </x:c>
      <x:c r="E43" s="15" t="str">
        <x:v>current public analytics</x:v>
      </x:c>
      <x:c r="F43" s="15" t="str">
        <x:v>5-Step Workflow To Make Ultra-Realistic AI Short Films (Seedance 2.0 4K)</x:v>
      </x:c>
      <x:c r="G43" s="15" t="str">
        <x:v>HSON-SoFz7s</x:v>
      </x:c>
      <x:c r="H43" s="15" t="str">
        <x:v>https://www.youtube.com/watch?v=HSON-SoFz7s</x:v>
      </x:c>
      <x:c r="I43" s="15" t="str">
        <x:v>Seedance 2.0；Higgsfield</x:v>
      </x:c>
      <x:c r="J43" s="15" t="str">
        <x:v>未确认</x:v>
      </x:c>
      <x:c r="K43" s="20" t="n">
        <x:v>0</x:v>
      </x:c>
      <x:c r="L43" s="20" t="n">
        <x:v>0</x:v>
      </x:c>
      <x:c r="M43" s="20" t="n">
        <x:v>0</x:v>
      </x:c>
      <x:c r="N43" s="20" t="n">
        <x:v>0</x:v>
      </x:c>
      <x:c r="O43" s="20" t="n">
        <x:v>0</x:v>
      </x:c>
      <x:c r="P43" s="20" t="n">
        <x:v>0</x:v>
      </x:c>
      <x:c r="Q43" s="20" t="n">
        <x:v>0</x:v>
      </x:c>
      <x:c r="R43" s="15" t="str">
        <x:v>未确认</x:v>
      </x:c>
      <x:c r="S43" s="15" t="str">
        <x:v>https://www.metrixall.com/youtube/higgsfieldai</x:v>
      </x:c>
      <x:c r="T43" s="15" t="str"/>
      <x:c r="U43" s="15" t="str">
        <x:v>MetrixAll 2026-08-16列286K。</x:v>
      </x:c>
    </x:row>
    <x:row r="44">
      <x:c r="A44" s="15" t="str">
        <x:v>YouTube</x:v>
      </x:c>
      <x:c r="B44" s="15" t="n">
        <x:v>13</x:v>
      </x:c>
      <x:c r="C44" s="18" t="n">
        <x:v>219000</x:v>
      </x:c>
      <x:c r="D44" s="15" t="str">
        <x:v>219K</x:v>
      </x:c>
      <x:c r="E44" s="15" t="str">
        <x:v>current public analytics</x:v>
      </x:c>
      <x:c r="F44" s="15" t="str">
        <x:v>I Made a Viral AI Short Film From Scratch — Full Workflow (Seedance 4K + Claude Fable 5)</x:v>
      </x:c>
      <x:c r="G44" s="15" t="str">
        <x:v>CHHH8tNioSc</x:v>
      </x:c>
      <x:c r="H44" s="15" t="str">
        <x:v>https://www.youtube.com/watch?v=CHHH8tNioSc</x:v>
      </x:c>
      <x:c r="I44" s="15" t="str">
        <x:v>Seedance 4K；Claude Fable 5</x:v>
      </x:c>
      <x:c r="J44" s="15" t="str">
        <x:v>未确认</x:v>
      </x:c>
      <x:c r="K44" s="20" t="n">
        <x:v>0</x:v>
      </x:c>
      <x:c r="L44" s="20" t="n">
        <x:v>0</x:v>
      </x:c>
      <x:c r="M44" s="20" t="n">
        <x:v>0</x:v>
      </x:c>
      <x:c r="N44" s="20" t="n">
        <x:v>0</x:v>
      </x:c>
      <x:c r="O44" s="20" t="n">
        <x:v>0</x:v>
      </x:c>
      <x:c r="P44" s="20" t="n">
        <x:v>0</x:v>
      </x:c>
      <x:c r="Q44" s="20" t="n">
        <x:v>0</x:v>
      </x:c>
      <x:c r="R44" s="15" t="str">
        <x:v>未确认</x:v>
      </x:c>
      <x:c r="S44" s="15" t="str">
        <x:v>https://www.metrixall.com/youtube/higgsfieldai</x:v>
      </x:c>
      <x:c r="T44" s="15" t="str"/>
      <x:c r="U44" s="15" t="str">
        <x:v>MetrixAll 2026-08-16列219K。</x:v>
      </x:c>
    </x:row>
    <x:row r="45">
      <x:c r="A45" s="15" t="str">
        <x:v>YouTube</x:v>
      </x:c>
      <x:c r="B45" s="15" t="n">
        <x:v>14</x:v>
      </x:c>
      <x:c r="C45" s="18" t="n">
        <x:v>197000</x:v>
      </x:c>
      <x:c r="D45" s="15" t="str">
        <x:v>197K</x:v>
      </x:c>
      <x:c r="E45" s="15" t="str">
        <x:v>indexed snapshot</x:v>
      </x:c>
      <x:c r="F45" s="15" t="str">
        <x:v>How to Create Lifelike Cinematic AI Videos FULL COURSE</x:v>
      </x:c>
      <x:c r="G45" s="15" t="str"/>
      <x:c r="H45" s="15" t="str">
        <x:v>https://www.youtube.com/results?search_query=How+to+Create+Lifelike+Cinematic+AI+Videos+FULL+COURSE</x:v>
      </x:c>
      <x:c r="I45" s="15" t="str">
        <x:v>AI视频生成工具</x:v>
      </x:c>
      <x:c r="J45" s="15" t="str">
        <x:v>未确认</x:v>
      </x:c>
      <x:c r="K45" s="20" t="n">
        <x:v>0</x:v>
      </x:c>
      <x:c r="L45" s="20" t="n">
        <x:v>0</x:v>
      </x:c>
      <x:c r="M45" s="20" t="n">
        <x:v>0</x:v>
      </x:c>
      <x:c r="N45" s="20" t="n">
        <x:v>0</x:v>
      </x:c>
      <x:c r="O45" s="20" t="n">
        <x:v>0</x:v>
      </x:c>
      <x:c r="P45" s="20" t="n">
        <x:v>0</x:v>
      </x:c>
      <x:c r="Q45" s="20" t="n">
        <x:v>0</x:v>
      </x:c>
      <x:c r="R45" s="15" t="str">
        <x:v>未确认</x:v>
      </x:c>
      <x:c r="S45" s="15" t="str">
        <x:v>https://www.youtube.com/results?search_query=How+to+Create+Lifelike+Cinematic+AI+Videos+FULL+COURSE</x:v>
      </x:c>
      <x:c r="T45" s="15" t="str"/>
      <x:c r="U45" s="15" t="str">
        <x:v>较早高播放cinematic AI video课程；当前索引未稳定返回ID。</x:v>
      </x:c>
    </x:row>
    <x:row r="46">
      <x:c r="A46" s="15" t="str">
        <x:v>YouTube</x:v>
      </x:c>
      <x:c r="B46" s="15" t="n">
        <x:v>15</x:v>
      </x:c>
      <x:c r="C46" s="18" t="n">
        <x:v>167000</x:v>
      </x:c>
      <x:c r="D46" s="15" t="str">
        <x:v>167K</x:v>
      </x:c>
      <x:c r="E46" s="15" t="str">
        <x:v>current crawl</x:v>
      </x:c>
      <x:c r="F46" s="15" t="str">
        <x:v>How to Make AI Films That Don't Look AI (Full Tutorial)</x:v>
      </x:c>
      <x:c r="G46" s="15" t="str">
        <x:v>-scKERL7PK0</x:v>
      </x:c>
      <x:c r="H46" s="15" t="str">
        <x:v>https://www.youtube.com/watch?v=-scKERL7PK0</x:v>
      </x:c>
      <x:c r="I46" s="15" t="str">
        <x:v>Higgsfield等</x:v>
      </x:c>
      <x:c r="J46" s="15" t="str">
        <x:v>未确认</x:v>
      </x:c>
      <x:c r="K46" s="20" t="n">
        <x:v>0</x:v>
      </x:c>
      <x:c r="L46" s="20" t="n">
        <x:v>0</x:v>
      </x:c>
      <x:c r="M46" s="20" t="n">
        <x:v>0</x:v>
      </x:c>
      <x:c r="N46" s="20" t="n">
        <x:v>0</x:v>
      </x:c>
      <x:c r="O46" s="20" t="n">
        <x:v>0</x:v>
      </x:c>
      <x:c r="P46" s="20" t="n">
        <x:v>0</x:v>
      </x:c>
      <x:c r="Q46" s="20" t="n">
        <x:v>0</x:v>
      </x:c>
      <x:c r="R46" s="15" t="str">
        <x:v>未确认</x:v>
      </x:c>
      <x:c r="S46" s="15" t="str">
        <x:v>https://www.youtube.com/watch?v=-scKERL7PK0</x:v>
      </x:c>
      <x:c r="T46" s="15" t="str"/>
      <x:c r="U46" s="15" t="str">
        <x:v>抓取时显示167K。</x:v>
      </x:c>
    </x:row>
    <x:row r="47">
      <x:c r="A47" s="15" t="str">
        <x:v>YouTube</x:v>
      </x:c>
      <x:c r="B47" s="15" t="n">
        <x:v>16</x:v>
      </x:c>
      <x:c r="C47" s="18" t="n">
        <x:v>166000</x:v>
      </x:c>
      <x:c r="D47" s="15" t="str">
        <x:v>166K</x:v>
      </x:c>
      <x:c r="E47" s="15" t="str">
        <x:v>rounded</x:v>
      </x:c>
      <x:c r="F47" s="15" t="str">
        <x:v>This is How I Made an Ultra Realistic AI Short Film Using Seedance 2.0 in 4K (Full Workflow)</x:v>
      </x:c>
      <x:c r="G47" s="15" t="str">
        <x:v>0HIRIT7px9Y</x:v>
      </x:c>
      <x:c r="H47" s="15" t="str">
        <x:v>https://www.youtube.com/watch?v=0HIRIT7px9Y</x:v>
      </x:c>
      <x:c r="I47" s="15" t="str">
        <x:v>Seedance 2.0</x:v>
      </x:c>
      <x:c r="J47" s="15" t="str">
        <x:v>未确认</x:v>
      </x:c>
      <x:c r="K47" s="20" t="n">
        <x:v>0</x:v>
      </x:c>
      <x:c r="L47" s="20" t="n">
        <x:v>0</x:v>
      </x:c>
      <x:c r="M47" s="20" t="n">
        <x:v>0</x:v>
      </x:c>
      <x:c r="N47" s="20" t="n">
        <x:v>0</x:v>
      </x:c>
      <x:c r="O47" s="20" t="n">
        <x:v>0</x:v>
      </x:c>
      <x:c r="P47" s="20" t="n">
        <x:v>0</x:v>
      </x:c>
      <x:c r="Q47" s="20" t="n">
        <x:v>0</x:v>
      </x:c>
      <x:c r="R47" s="15" t="str">
        <x:v>未确认</x:v>
      </x:c>
      <x:c r="S47" s="15" t="str">
        <x:v>https://www.youtube.com/watch?v=0HIRIT7px9Y</x:v>
      </x:c>
      <x:c r="T47" s="15" t="str"/>
      <x:c r="U47" s="15" t="str">
        <x:v>完整Seedance短片工作流。</x:v>
      </x:c>
    </x:row>
    <x:row r="48">
      <x:c r="A48" s="15" t="str">
        <x:v>YouTube</x:v>
      </x:c>
      <x:c r="B48" s="15" t="n">
        <x:v>17</x:v>
      </x:c>
      <x:c r="C48" s="18" t="n">
        <x:v>164000</x:v>
      </x:c>
      <x:c r="D48" s="15" t="str">
        <x:v>164K</x:v>
      </x:c>
      <x:c r="E48" s="15" t="str">
        <x:v>rounded</x:v>
      </x:c>
      <x:c r="F48" s="15" t="str">
        <x:v>How to Create Lifelike Cinematic AI Videos in 2026 (full course)</x:v>
      </x:c>
      <x:c r="G48" s="15" t="str">
        <x:v>SMW_07yF35E</x:v>
      </x:c>
      <x:c r="H48" s="15" t="str">
        <x:v>https://www.youtube.com/watch?v=SMW_07yF35E</x:v>
      </x:c>
      <x:c r="I48" s="15" t="str">
        <x:v>多种AI视频工具</x:v>
      </x:c>
      <x:c r="J48" s="15" t="str">
        <x:v>未确认</x:v>
      </x:c>
      <x:c r="K48" s="20" t="n">
        <x:v>0</x:v>
      </x:c>
      <x:c r="L48" s="20" t="n">
        <x:v>0</x:v>
      </x:c>
      <x:c r="M48" s="20" t="n">
        <x:v>0</x:v>
      </x:c>
      <x:c r="N48" s="20" t="n">
        <x:v>0</x:v>
      </x:c>
      <x:c r="O48" s="20" t="n">
        <x:v>0</x:v>
      </x:c>
      <x:c r="P48" s="20" t="n">
        <x:v>0</x:v>
      </x:c>
      <x:c r="Q48" s="20" t="n">
        <x:v>0</x:v>
      </x:c>
      <x:c r="R48" s="15" t="str">
        <x:v>未确认</x:v>
      </x:c>
      <x:c r="S48" s="15" t="str">
        <x:v>https://www.youtube.com/watch?v=SMW_07yF35E</x:v>
      </x:c>
      <x:c r="T48" s="15" t="str"/>
      <x:c r="U48" s="15" t="str">
        <x:v>2026完整课程。</x:v>
      </x:c>
    </x:row>
    <x:row r="49">
      <x:c r="A49" s="15" t="str">
        <x:v>YouTube</x:v>
      </x:c>
      <x:c r="B49" s="15" t="n">
        <x:v>18</x:v>
      </x:c>
      <x:c r="C49" s="18" t="n">
        <x:v>120711</x:v>
      </x:c>
      <x:c r="D49" s="15" t="str">
        <x:v>120,711</x:v>
      </x:c>
      <x:c r="E49" s="15" t="str">
        <x:v>exact indexed value</x:v>
      </x:c>
      <x:c r="F49" s="15" t="str">
        <x:v>How to Create an AI Cinematic Brand Video: Full Workflow | Runway Gen-3 | Midjourney | Adobe</x:v>
      </x:c>
      <x:c r="G49" s="15" t="str">
        <x:v>jdZsNHFySno</x:v>
      </x:c>
      <x:c r="H49" s="15" t="str">
        <x:v>https://www.youtube.com/watch?v=jdZsNHFySno</x:v>
      </x:c>
      <x:c r="I49" s="15" t="str">
        <x:v>Midjourney；Runway Gen-3；ChatGPT等</x:v>
      </x:c>
      <x:c r="J49" s="15" t="str">
        <x:v>After Effects + Premiere Pro</x:v>
      </x:c>
      <x:c r="K49" s="20" t="n">
        <x:v>0</x:v>
      </x:c>
      <x:c r="L49" s="20" t="n">
        <x:v>0</x:v>
      </x:c>
      <x:c r="M49" s="20" t="n">
        <x:v>1</x:v>
      </x:c>
      <x:c r="N49" s="20" t="n">
        <x:v>1</x:v>
      </x:c>
      <x:c r="O49" s="20" t="n">
        <x:v>0</x:v>
      </x:c>
      <x:c r="P49" s="20" t="n">
        <x:v>0</x:v>
      </x:c>
      <x:c r="Q49" s="20" t="n">
        <x:v>1</x:v>
      </x:c>
      <x:c r="R49" s="15" t="str">
        <x:v>作者说明明确</x:v>
      </x:c>
      <x:c r="S49" s="15" t="str">
        <x:v>https://cursob.com/en/runway-en/</x:v>
      </x:c>
      <x:c r="T49" s="15" t="str">
        <x:v>https://www.patreon.com/redpillar/posts/how-to-create-ai-112687330</x:v>
      </x:c>
      <x:c r="U49" s="15" t="str">
        <x:v>作者分阶段说明：AE负责编辑/动效，Premiere负责声音设计。</x:v>
      </x:c>
    </x:row>
    <x:row r="50">
      <x:c r="A50" s="15" t="str">
        <x:v>YouTube</x:v>
      </x:c>
      <x:c r="B50" s="15" t="n">
        <x:v>19</x:v>
      </x:c>
      <x:c r="C50" s="18" t="n">
        <x:v>105000</x:v>
      </x:c>
      <x:c r="D50" s="15" t="str">
        <x:v>105K</x:v>
      </x:c>
      <x:c r="E50" s="15" t="str">
        <x:v>rounded</x:v>
      </x:c>
      <x:c r="F50" s="15" t="str">
        <x:v>How I Made a Short Film with Seedance 2.0 &amp; Kling 3.0 (FULL BREAKDOWN)</x:v>
      </x:c>
      <x:c r="G50" s="15" t="str">
        <x:v>ocbwttMi72M</x:v>
      </x:c>
      <x:c r="H50" s="15" t="str">
        <x:v>https://www.youtube.com/watch?v=ocbwttMi72M</x:v>
      </x:c>
      <x:c r="I50" s="15" t="str">
        <x:v>Seedance 2.0；Kling 3.0</x:v>
      </x:c>
      <x:c r="J50" s="15" t="str">
        <x:v>未确认</x:v>
      </x:c>
      <x:c r="K50" s="20" t="n">
        <x:v>0</x:v>
      </x:c>
      <x:c r="L50" s="20" t="n">
        <x:v>0</x:v>
      </x:c>
      <x:c r="M50" s="20" t="n">
        <x:v>0</x:v>
      </x:c>
      <x:c r="N50" s="20" t="n">
        <x:v>0</x:v>
      </x:c>
      <x:c r="O50" s="20" t="n">
        <x:v>0</x:v>
      </x:c>
      <x:c r="P50" s="20" t="n">
        <x:v>0</x:v>
      </x:c>
      <x:c r="Q50" s="20" t="n">
        <x:v>0</x:v>
      </x:c>
      <x:c r="R50" s="15" t="str">
        <x:v>未确认</x:v>
      </x:c>
      <x:c r="S50" s="15" t="str">
        <x:v>https://www.youtube.com/watch?v=ocbwttMi72M</x:v>
      </x:c>
      <x:c r="T50" s="15" t="str"/>
      <x:c r="U50" s="15" t="str">
        <x:v>完整短片拆解。</x:v>
      </x:c>
    </x:row>
    <x:row r="51">
      <x:c r="A51" s="15" t="str">
        <x:v>YouTube</x:v>
      </x:c>
      <x:c r="B51" s="15" t="n">
        <x:v>20</x:v>
      </x:c>
      <x:c r="C51" s="18" t="n">
        <x:v>89000</x:v>
      </x:c>
      <x:c r="D51" s="15" t="str">
        <x:v>89K</x:v>
      </x:c>
      <x:c r="E51" s="15" t="str">
        <x:v>rounded</x:v>
      </x:c>
      <x:c r="F51" s="15" t="str">
        <x:v>How to Create Award Winning AI Films: A Complete Guide</x:v>
      </x:c>
      <x:c r="G51" s="15" t="str">
        <x:v>m-8gWrlnxFM</x:v>
      </x:c>
      <x:c r="H51" s="15" t="str">
        <x:v>https://www.youtube.com/watch?v=m-8gWrlnxFM</x:v>
      </x:c>
      <x:c r="I51" s="15" t="str">
        <x:v>多种AI工具</x:v>
      </x:c>
      <x:c r="J51" s="15" t="str">
        <x:v>未确认</x:v>
      </x:c>
      <x:c r="K51" s="20" t="n">
        <x:v>0</x:v>
      </x:c>
      <x:c r="L51" s="20" t="n">
        <x:v>0</x:v>
      </x:c>
      <x:c r="M51" s="20" t="n">
        <x:v>0</x:v>
      </x:c>
      <x:c r="N51" s="20" t="n">
        <x:v>0</x:v>
      </x:c>
      <x:c r="O51" s="20" t="n">
        <x:v>0</x:v>
      </x:c>
      <x:c r="P51" s="20" t="n">
        <x:v>0</x:v>
      </x:c>
      <x:c r="Q51" s="20" t="n">
        <x:v>0</x:v>
      </x:c>
      <x:c r="R51" s="15" t="str">
        <x:v>未确认</x:v>
      </x:c>
      <x:c r="S51" s="15" t="str">
        <x:v>https://www.youtube.com/watch?v=m-8gWrlnxFM</x:v>
      </x:c>
      <x:c r="T51" s="15" t="str"/>
      <x:c r="U51" s="15" t="str">
        <x:v>AI film complete guide。</x:v>
      </x:c>
    </x:row>
    <x:row r="52">
      <x:c r="A52" s="15" t="str">
        <x:v>YouTube</x:v>
      </x:c>
      <x:c r="B52" s="15" t="n">
        <x:v>21</x:v>
      </x:c>
      <x:c r="C52" s="18" t="n">
        <x:v>80900</x:v>
      </x:c>
      <x:c r="D52" s="15" t="str">
        <x:v>80.9K</x:v>
      </x:c>
      <x:c r="E52" s="15" t="str">
        <x:v>indexed snapshot</x:v>
      </x:c>
      <x:c r="F52" s="15" t="str">
        <x:v>Behind The Scenes Of An AI Film (Masterclass &amp; Cost Breakdown!)</x:v>
      </x:c>
      <x:c r="G52" s="15" t="str">
        <x:v>6MRSaaxhz7A</x:v>
      </x:c>
      <x:c r="H52" s="15" t="str">
        <x:v>https://www.youtube.com/watch?v=6MRSaaxhz7A</x:v>
      </x:c>
      <x:c r="I52" s="15" t="str">
        <x:v>AI生成工具</x:v>
      </x:c>
      <x:c r="J52" s="15" t="str">
        <x:v>Premiere Pro + After Effects</x:v>
      </x:c>
      <x:c r="K52" s="20" t="n">
        <x:v>0</x:v>
      </x:c>
      <x:c r="L52" s="20" t="n">
        <x:v>0</x:v>
      </x:c>
      <x:c r="M52" s="20" t="n">
        <x:v>1</x:v>
      </x:c>
      <x:c r="N52" s="20" t="n">
        <x:v>1</x:v>
      </x:c>
      <x:c r="O52" s="20" t="n">
        <x:v>0</x:v>
      </x:c>
      <x:c r="P52" s="20" t="n">
        <x:v>0</x:v>
      </x:c>
      <x:c r="Q52" s="20" t="n">
        <x:v>1</x:v>
      </x:c>
      <x:c r="R52" s="15" t="str">
        <x:v>二手工作流复盘</x:v>
      </x:c>
      <x:c r="S52" s="15" t="str">
        <x:v>https://www.youtube.com/watch?v=6MRSaaxhz7A</x:v>
      </x:c>
      <x:c r="T52" s="15" t="str">
        <x:v>https://www.youtube.com/watch?v=6MRSaaxhz7A</x:v>
      </x:c>
      <x:c r="U52" s="15" t="str">
        <x:v>复盘资料指向Premiere装配、AE/Photoshop增强；证据等级低于作者原文。</x:v>
      </x:c>
    </x:row>
    <x:row r="53">
      <x:c r="A53" s="15" t="str">
        <x:v>YouTube</x:v>
      </x:c>
      <x:c r="B53" s="15" t="n">
        <x:v>22</x:v>
      </x:c>
      <x:c r="C53" s="18" t="n">
        <x:v>60548</x:v>
      </x:c>
      <x:c r="D53" s="15" t="str">
        <x:v>60,548</x:v>
      </x:c>
      <x:c r="E53" s="15" t="str">
        <x:v>metadata snapshot</x:v>
      </x:c>
      <x:c r="F53" s="15" t="str">
        <x:v>EXACTLY How to Make an AI Short Film (Full Workflow)</x:v>
      </x:c>
      <x:c r="G53" s="15" t="str">
        <x:v>0v534yAyhwg</x:v>
      </x:c>
      <x:c r="H53" s="15" t="str">
        <x:v>https://www.youtube.com/watch?v=0v534yAyhwg</x:v>
      </x:c>
      <x:c r="I53" s="15" t="str">
        <x:v>多种AI工具</x:v>
      </x:c>
      <x:c r="J53" s="15" t="str">
        <x:v>未确认</x:v>
      </x:c>
      <x:c r="K53" s="20" t="n">
        <x:v>0</x:v>
      </x:c>
      <x:c r="L53" s="20" t="n">
        <x:v>0</x:v>
      </x:c>
      <x:c r="M53" s="20" t="n">
        <x:v>0</x:v>
      </x:c>
      <x:c r="N53" s="20" t="n">
        <x:v>0</x:v>
      </x:c>
      <x:c r="O53" s="20" t="n">
        <x:v>0</x:v>
      </x:c>
      <x:c r="P53" s="20" t="n">
        <x:v>0</x:v>
      </x:c>
      <x:c r="Q53" s="20" t="n">
        <x:v>0</x:v>
      </x:c>
      <x:c r="R53" s="15" t="str">
        <x:v>未确认</x:v>
      </x:c>
      <x:c r="S53" s="15" t="str">
        <x:v>https://www.youtube.com/watch?v=0v534yAyhwg</x:v>
      </x:c>
      <x:c r="T53" s="15" t="str"/>
      <x:c r="U53" s="15" t="str">
        <x:v>完整AI短片工作流。</x:v>
      </x:c>
    </x:row>
    <x:row r="54">
      <x:c r="A54" s="15" t="str">
        <x:v>YouTube</x:v>
      </x:c>
      <x:c r="B54" s="15" t="n">
        <x:v>23</x:v>
      </x:c>
      <x:c r="C54" s="18" t="n">
        <x:v>45000</x:v>
      </x:c>
      <x:c r="D54" s="15" t="str">
        <x:v>45K</x:v>
      </x:c>
      <x:c r="E54" s="15" t="str">
        <x:v>rounded</x:v>
      </x:c>
      <x:c r="F54" s="15" t="str">
        <x:v>From Script to Screen: Build Your Entire Movie with SAGA</x:v>
      </x:c>
      <x:c r="G54" s="15" t="str">
        <x:v>iQ6JhAqeU-g</x:v>
      </x:c>
      <x:c r="H54" s="15" t="str">
        <x:v>https://www.youtube.com/watch?v=iQ6JhAqeU-g</x:v>
      </x:c>
      <x:c r="I54" s="15" t="str">
        <x:v>SAGA</x:v>
      </x:c>
      <x:c r="J54" s="15" t="str">
        <x:v>SAGA内完成/外部NLE未确认</x:v>
      </x:c>
      <x:c r="K54" s="20" t="n">
        <x:v>0</x:v>
      </x:c>
      <x:c r="L54" s="20" t="n">
        <x:v>0</x:v>
      </x:c>
      <x:c r="M54" s="20" t="n">
        <x:v>0</x:v>
      </x:c>
      <x:c r="N54" s="20" t="n">
        <x:v>0</x:v>
      </x:c>
      <x:c r="O54" s="20" t="n">
        <x:v>0</x:v>
      </x:c>
      <x:c r="P54" s="20" t="n">
        <x:v>0</x:v>
      </x:c>
      <x:c r="Q54" s="20" t="n">
        <x:v>0</x:v>
      </x:c>
      <x:c r="R54" s="15" t="str">
        <x:v>产品流程明确</x:v>
      </x:c>
      <x:c r="S54" s="15" t="str">
        <x:v>https://www.youtube.com/watch?v=iQ6JhAqeU-g</x:v>
      </x:c>
      <x:c r="T54" s="15" t="str"/>
      <x:c r="U54" s="15" t="str">
        <x:v>不把平台内完成等同于某传统NLE。</x:v>
      </x:c>
    </x:row>
    <x:row r="55">
      <x:c r="A55" s="15" t="str">
        <x:v>YouTube</x:v>
      </x:c>
      <x:c r="B55" s="15" t="n">
        <x:v>24</x:v>
      </x:c>
      <x:c r="C55" s="18" t="n">
        <x:v>43000</x:v>
      </x:c>
      <x:c r="D55" s="15" t="str">
        <x:v>43K</x:v>
      </x:c>
      <x:c r="E55" s="15" t="str">
        <x:v>rounded</x:v>
      </x:c>
      <x:c r="F55" s="15" t="str">
        <x:v>Claude as Your Entire Filmmaking Team — Full Workflow</x:v>
      </x:c>
      <x:c r="G55" s="15" t="str">
        <x:v>LW3lzgyTezk</x:v>
      </x:c>
      <x:c r="H55" s="15" t="str">
        <x:v>https://www.youtube.com/watch?v=LW3lzgyTezk</x:v>
      </x:c>
      <x:c r="I55" s="15" t="str">
        <x:v>Claude等</x:v>
      </x:c>
      <x:c r="J55" s="15" t="str">
        <x:v>未确认</x:v>
      </x:c>
      <x:c r="K55" s="20" t="n">
        <x:v>0</x:v>
      </x:c>
      <x:c r="L55" s="20" t="n">
        <x:v>0</x:v>
      </x:c>
      <x:c r="M55" s="20" t="n">
        <x:v>0</x:v>
      </x:c>
      <x:c r="N55" s="20" t="n">
        <x:v>0</x:v>
      </x:c>
      <x:c r="O55" s="20" t="n">
        <x:v>0</x:v>
      </x:c>
      <x:c r="P55" s="20" t="n">
        <x:v>0</x:v>
      </x:c>
      <x:c r="Q55" s="20" t="n">
        <x:v>0</x:v>
      </x:c>
      <x:c r="R55" s="15" t="str">
        <x:v>未确认</x:v>
      </x:c>
      <x:c r="S55" s="15" t="str">
        <x:v>https://www.youtube.com/watch?v=LW3lzgyTezk</x:v>
      </x:c>
      <x:c r="T55" s="15" t="str"/>
      <x:c r="U55" s="15" t="str">
        <x:v>完整AI filmmaking workflow。</x:v>
      </x:c>
    </x:row>
    <x:row r="56">
      <x:c r="A56" s="15" t="str">
        <x:v>YouTube</x:v>
      </x:c>
      <x:c r="B56" s="15" t="n">
        <x:v>25</x:v>
      </x:c>
      <x:c r="C56" s="18" t="n">
        <x:v>33000</x:v>
      </x:c>
      <x:c r="D56" s="15" t="str">
        <x:v>33K</x:v>
      </x:c>
      <x:c r="E56" s="15" t="str">
        <x:v>rounded</x:v>
      </x:c>
      <x:c r="F56" s="15" t="str">
        <x:v>My AI Filmmaking Workflow: Kling, Veo &amp; Nano Banana</x:v>
      </x:c>
      <x:c r="G56" s="15" t="str">
        <x:v>31GR1pXlB1g</x:v>
      </x:c>
      <x:c r="H56" s="15" t="str">
        <x:v>https://www.youtube.com/watch?v=31GR1pXlB1g</x:v>
      </x:c>
      <x:c r="I56" s="15" t="str">
        <x:v>Kling；Veo；Nano Banana</x:v>
      </x:c>
      <x:c r="J56" s="15" t="str">
        <x:v>未确认</x:v>
      </x:c>
      <x:c r="K56" s="20" t="n">
        <x:v>0</x:v>
      </x:c>
      <x:c r="L56" s="20" t="n">
        <x:v>0</x:v>
      </x:c>
      <x:c r="M56" s="20" t="n">
        <x:v>0</x:v>
      </x:c>
      <x:c r="N56" s="20" t="n">
        <x:v>0</x:v>
      </x:c>
      <x:c r="O56" s="20" t="n">
        <x:v>0</x:v>
      </x:c>
      <x:c r="P56" s="20" t="n">
        <x:v>0</x:v>
      </x:c>
      <x:c r="Q56" s="20" t="n">
        <x:v>0</x:v>
      </x:c>
      <x:c r="R56" s="15" t="str">
        <x:v>未确认</x:v>
      </x:c>
      <x:c r="S56" s="15" t="str">
        <x:v>https://www.youtube.com/watch?v=31GR1pXlB1g</x:v>
      </x:c>
      <x:c r="T56" s="15" t="str"/>
      <x:c r="U56" s="15" t="str">
        <x:v>工作流教程。</x:v>
      </x:c>
    </x:row>
    <x:row r="57">
      <x:c r="A57" s="15" t="str">
        <x:v>YouTube</x:v>
      </x:c>
      <x:c r="B57" s="15" t="n">
        <x:v>26</x:v>
      </x:c>
      <x:c r="C57" s="18" t="n">
        <x:v>30000</x:v>
      </x:c>
      <x:c r="D57" s="15" t="str">
        <x:v>30K</x:v>
      </x:c>
      <x:c r="E57" s="15" t="str">
        <x:v>rounded</x:v>
      </x:c>
      <x:c r="F57" s="15" t="str">
        <x:v>How to Create AI Films Better Than 99% of People</x:v>
      </x:c>
      <x:c r="G57" s="15" t="str">
        <x:v>lbMcDszm0Mc</x:v>
      </x:c>
      <x:c r="H57" s="15" t="str">
        <x:v>https://www.youtube.com/watch?v=lbMcDszm0Mc</x:v>
      </x:c>
      <x:c r="I57" s="15" t="str">
        <x:v>多种AI工具</x:v>
      </x:c>
      <x:c r="J57" s="15" t="str">
        <x:v>未确认</x:v>
      </x:c>
      <x:c r="K57" s="20" t="n">
        <x:v>0</x:v>
      </x:c>
      <x:c r="L57" s="20" t="n">
        <x:v>0</x:v>
      </x:c>
      <x:c r="M57" s="20" t="n">
        <x:v>0</x:v>
      </x:c>
      <x:c r="N57" s="20" t="n">
        <x:v>0</x:v>
      </x:c>
      <x:c r="O57" s="20" t="n">
        <x:v>0</x:v>
      </x:c>
      <x:c r="P57" s="20" t="n">
        <x:v>0</x:v>
      </x:c>
      <x:c r="Q57" s="20" t="n">
        <x:v>0</x:v>
      </x:c>
      <x:c r="R57" s="15" t="str">
        <x:v>未确认</x:v>
      </x:c>
      <x:c r="S57" s="15" t="str">
        <x:v>https://www.youtube.com/watch?v=lbMcDszm0Mc</x:v>
      </x:c>
      <x:c r="T57" s="15" t="str"/>
      <x:c r="U57" s="15" t="str">
        <x:v>AI film workflow/tutorial。</x:v>
      </x:c>
    </x:row>
    <x:row r="58">
      <x:c r="A58" s="15" t="str">
        <x:v>YouTube</x:v>
      </x:c>
      <x:c r="B58" s="15" t="n">
        <x:v>27</x:v>
      </x:c>
      <x:c r="C58" s="18" t="n">
        <x:v>26000</x:v>
      </x:c>
      <x:c r="D58" s="15" t="str">
        <x:v>26K</x:v>
      </x:c>
      <x:c r="E58" s="15" t="str">
        <x:v>rounded</x:v>
      </x:c>
      <x:c r="F58" s="15" t="str">
        <x:v>AI Filmmaking Workflow: Seedance 2.0 in CapCut</x:v>
      </x:c>
      <x:c r="G58" s="15" t="str">
        <x:v>nnwI7sKs7Iw</x:v>
      </x:c>
      <x:c r="H58" s="15" t="str">
        <x:v>https://www.youtube.com/watch?v=nnwI7sKs7Iw</x:v>
      </x:c>
      <x:c r="I58" s="15" t="str">
        <x:v>Seedance 2.0</x:v>
      </x:c>
      <x:c r="J58" s="15" t="str">
        <x:v>CapCut</x:v>
      </x:c>
      <x:c r="K58" s="20" t="n">
        <x:v>0</x:v>
      </x:c>
      <x:c r="L58" s="20" t="n">
        <x:v>1</x:v>
      </x:c>
      <x:c r="M58" s="20" t="n">
        <x:v>0</x:v>
      </x:c>
      <x:c r="N58" s="20" t="n">
        <x:v>0</x:v>
      </x:c>
      <x:c r="O58" s="20" t="n">
        <x:v>0</x:v>
      </x:c>
      <x:c r="P58" s="20" t="n">
        <x:v>0</x:v>
      </x:c>
      <x:c r="Q58" s="20" t="n">
        <x:v>0</x:v>
      </x:c>
      <x:c r="R58" s="15" t="str">
        <x:v>标题明确</x:v>
      </x:c>
      <x:c r="S58" s="15" t="str">
        <x:v>https://www.youtube.com/watch?v=nnwI7sKs7Iw</x:v>
      </x:c>
      <x:c r="T58" s="15" t="str">
        <x:v>https://www.youtube.com/watch?v=nnwI7sKs7Iw</x:v>
      </x:c>
      <x:c r="U58" s="15" t="str">
        <x:v>编辑器由标题明确。</x:v>
      </x:c>
    </x:row>
    <x:row r="59">
      <x:c r="A59" s="15" t="str">
        <x:v>YouTube</x:v>
      </x:c>
      <x:c r="B59" s="15" t="n">
        <x:v>28</x:v>
      </x:c>
      <x:c r="C59" s="18" t="n">
        <x:v>20766</x:v>
      </x:c>
      <x:c r="D59" s="15" t="str">
        <x:v>20,766</x:v>
      </x:c>
      <x:c r="E59" s="15" t="str">
        <x:v>indexed snapshot</x:v>
      </x:c>
      <x:c r="F59" s="15" t="str">
        <x:v>How to Create an AI Cinematic Story: Full Workflow | Runway Gen-3 | Midjourney | Adobe</x:v>
      </x:c>
      <x:c r="G59" s="15" t="str">
        <x:v>anNZd8WbeGs</x:v>
      </x:c>
      <x:c r="H59" s="15" t="str">
        <x:v>https://www.youtube.com/watch?v=anNZd8WbeGs</x:v>
      </x:c>
      <x:c r="I59" s="15" t="str">
        <x:v>Runway；Midjourney</x:v>
      </x:c>
      <x:c r="J59" s="15" t="str">
        <x:v>Adobe software</x:v>
      </x:c>
      <x:c r="K59" s="20" t="n">
        <x:v>0</x:v>
      </x:c>
      <x:c r="L59" s="20" t="n">
        <x:v>0</x:v>
      </x:c>
      <x:c r="M59" s="20" t="n">
        <x:v>1</x:v>
      </x:c>
      <x:c r="N59" s="20" t="n">
        <x:v>1</x:v>
      </x:c>
      <x:c r="O59" s="20" t="n">
        <x:v>0</x:v>
      </x:c>
      <x:c r="P59" s="20" t="n">
        <x:v>0</x:v>
      </x:c>
      <x:c r="Q59" s="20" t="n">
        <x:v>1</x:v>
      </x:c>
      <x:c r="R59" s="15" t="str">
        <x:v>视频描述明确</x:v>
      </x:c>
      <x:c r="S59" s="15" t="str">
        <x:v>https://www.youtube.com/watch?v=anNZd8WbeGs</x:v>
      </x:c>
      <x:c r="T59" s="15" t="str">
        <x:v>https://www.youtube.com/watch?v=anNZd8WbeGs</x:v>
      </x:c>
      <x:c r="U59" s="15" t="str">
        <x:v>描述明确使用Adobe software；Premiere/AE来自同系列工作流证据。</x:v>
      </x:c>
    </x:row>
    <x:row r="60">
      <x:c r="A60" s="15" t="str">
        <x:v>YouTube</x:v>
      </x:c>
      <x:c r="B60" s="15" t="n">
        <x:v>29</x:v>
      </x:c>
      <x:c r="C60" s="18" t="n">
        <x:v>18812</x:v>
      </x:c>
      <x:c r="D60" s="15" t="str">
        <x:v>18,812</x:v>
      </x:c>
      <x:c r="E60" s="15" t="str">
        <x:v>indexed snapshot</x:v>
      </x:c>
      <x:c r="F60" s="15" t="str">
        <x:v>AI FILMS: How to make an entire SHORT FILM with AI (Full Tutorial)</x:v>
      </x:c>
      <x:c r="G60" s="15" t="str"/>
      <x:c r="H60" s="15" t="str">
        <x:v>https://www.youtube.com/results?search_query=AI+FILMS+How+to+make+an+entire+SHORT+FILM+with+AI+Gabe+Michael</x:v>
      </x:c>
      <x:c r="I60" s="15" t="str">
        <x:v>多种AI工具</x:v>
      </x:c>
      <x:c r="J60" s="15" t="str">
        <x:v>未确认</x:v>
      </x:c>
      <x:c r="K60" s="20" t="n">
        <x:v>0</x:v>
      </x:c>
      <x:c r="L60" s="20" t="n">
        <x:v>0</x:v>
      </x:c>
      <x:c r="M60" s="20" t="n">
        <x:v>0</x:v>
      </x:c>
      <x:c r="N60" s="20" t="n">
        <x:v>0</x:v>
      </x:c>
      <x:c r="O60" s="20" t="n">
        <x:v>0</x:v>
      </x:c>
      <x:c r="P60" s="20" t="n">
        <x:v>0</x:v>
      </x:c>
      <x:c r="Q60" s="20" t="n">
        <x:v>0</x:v>
      </x:c>
      <x:c r="R60" s="15" t="str">
        <x:v>未确认</x:v>
      </x:c>
      <x:c r="S60" s="15" t="str">
        <x:v>https://www.youtube.com/results?search_query=AI+FILMS+How+to+make+an+entire+SHORT+FILM+with+AI+Gabe+Michael</x:v>
      </x:c>
      <x:c r="T60" s="15" t="str"/>
      <x:c r="U60" s="15" t="str">
        <x:v>Gabe Michael；固定标题+播放快照。</x:v>
      </x:c>
    </x:row>
    <x:row r="61">
      <x:c r="A61" s="15" t="str">
        <x:v>YouTube</x:v>
      </x:c>
      <x:c r="B61" s="15" t="n">
        <x:v>30</x:v>
      </x:c>
      <x:c r="C61" s="18" t="n">
        <x:v>18727</x:v>
      </x:c>
      <x:c r="D61" s="15" t="str">
        <x:v>18,727</x:v>
      </x:c>
      <x:c r="E61" s="15" t="str">
        <x:v>indexed snapshot</x:v>
      </x:c>
      <x:c r="F61" s="15" t="str">
        <x:v>AI Filmmaking: Create an Entire MOVIE From Scratch</x:v>
      </x:c>
      <x:c r="G61" s="15" t="str"/>
      <x:c r="H61" s="15" t="str">
        <x:v>https://www.youtube.com/results?search_query=AI+Filmmaking+Create+an+Entire+MOVIE+From+Scratch+AI+Lockup</x:v>
      </x:c>
      <x:c r="I61" s="15" t="str">
        <x:v>多种AI工具</x:v>
      </x:c>
      <x:c r="J61" s="15" t="str">
        <x:v>未确认</x:v>
      </x:c>
      <x:c r="K61" s="20" t="n">
        <x:v>0</x:v>
      </x:c>
      <x:c r="L61" s="20" t="n">
        <x:v>0</x:v>
      </x:c>
      <x:c r="M61" s="20" t="n">
        <x:v>0</x:v>
      </x:c>
      <x:c r="N61" s="20" t="n">
        <x:v>0</x:v>
      </x:c>
      <x:c r="O61" s="20" t="n">
        <x:v>0</x:v>
      </x:c>
      <x:c r="P61" s="20" t="n">
        <x:v>0</x:v>
      </x:c>
      <x:c r="Q61" s="20" t="n">
        <x:v>0</x:v>
      </x:c>
      <x:c r="R61" s="15" t="str">
        <x:v>未确认</x:v>
      </x:c>
      <x:c r="S61" s="15" t="str">
        <x:v>https://www.youtube.com/results?search_query=AI+Filmmaking+Create+an+Entire+MOVIE+From+Scratch+AI+Lockup</x:v>
      </x:c>
      <x:c r="T61" s="15" t="str"/>
      <x:c r="U61" s="15" t="str">
        <x:v>AI Lockup；固定标题+播放快照。</x:v>
      </x:c>
    </x:row>
  </x:sheetData>
  <x:conditionalFormatting sqref="K2:K61">
    <x:cfRule type="cellIs" dxfId="0" priority="1">
      <x:formula>1</x:formula>
    </x:cfRule>
  </x:conditionalFormatting>
  <x:conditionalFormatting sqref="L2:L61">
    <x:cfRule type="cellIs" dxfId="1" priority="2">
      <x:formula>1</x:formula>
    </x:cfRule>
  </x:conditionalFormatting>
  <x:conditionalFormatting sqref="M2:M61">
    <x:cfRule type="cellIs" dxfId="2" priority="3">
      <x:formula>1</x:formula>
    </x:cfRule>
  </x:conditionalFormatting>
  <x:conditionalFormatting sqref="N2:N61">
    <x:cfRule type="cellIs" dxfId="3" priority="4">
      <x:formula>1</x:formula>
    </x:cfRule>
  </x:conditionalFormatting>
  <x:conditionalFormatting sqref="O2:O61">
    <x:cfRule type="cellIs" dxfId="4" priority="5">
      <x:formula>1</x:formula>
    </x:cfRule>
  </x:conditionalFormatting>
  <x:conditionalFormatting sqref="P2:P61">
    <x:cfRule type="cellIs" dxfId="5" priority="6">
      <x:formula>1</x:formula>
    </x:cfRule>
  </x:conditionalFormatting>
  <x:conditionalFormatting sqref="Q2:Q61">
    <x:cfRule type="cellIs" dxfId="6" priority="7">
      <x:formula>1</x:formula>
    </x:cfRule>
  </x:conditionalFormatting>
  <x:conditionalFormatting sqref="J2:J61">
    <x:cfRule type="expression" dxfId="7" priority="8">
      <x:formula>J2="未确认"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bd1edd318645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21" hidden="0" customWidth="1"/>
    <x:col min="4" max="4" width="22" hidden="0" customWidth="1"/>
    <x:col min="5" max="5" width="26" hidden="0" customWidth="1"/>
    <x:col min="6" max="6" width="22" hidden="0" customWidth="1"/>
    <x:col min="7" max="7" width="4" hidden="0" customWidth="1"/>
    <x:col min="8" max="8" width="18" hidden="0" customWidth="1"/>
    <x:col min="9" max="9" width="16" hidden="0" customWidth="1"/>
  </x:cols>
  <x:sheetData>
    <x:row r="1">
      <x:c r="A1" s="46" t="str">
        <x:v>AI视频/短剧教程工具链：固定样本 v1（2026-08-16）</x:v>
      </x:c>
      <x:c r="B1" s="46"/>
      <x:c r="C1" s="46"/>
      <x:c r="D1" s="46"/>
      <x:c r="E1" s="46"/>
      <x:c r="F1" s="46"/>
      <x:c r="G1" s="46"/>
      <x:c r="H1" s="46"/>
      <x:c r="I1" s="12"/>
    </x:row>
    <x:row r="2">
      <x:c r="A2" s="32" t="str">
        <x:v>“搜索可见高播放固定样本”，不是平台官方绝对Top30。工具只按标题/描述/转录/工作流证据中的明确出现编码；未确认 ≠ 未使用。</x:v>
      </x:c>
      <x:c r="B2" s="32"/>
      <x:c r="C2" s="32"/>
      <x:c r="D2" s="32"/>
      <x:c r="E2" s="32"/>
      <x:c r="F2" s="32"/>
      <x:c r="G2" s="32"/>
      <x:c r="H2" s="32"/>
      <x:c r="I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</x:row>
    <x:row r="4">
      <x:c r="A4" s="6" t="str">
        <x:v>Platform</x:v>
      </x:c>
      <x:c r="B4" s="6" t="str">
        <x:v>Sample_n</x:v>
      </x:c>
      <x:c r="C4" s="6" t="str">
        <x:v>Total_sample_views</x:v>
      </x:c>
      <x:c r="D4" s="6" t="str">
        <x:v>Explicit_editor_rows</x:v>
      </x:c>
      <x:c r="E4" s="6" t="str">
        <x:v>Unconfirmed_editor_rows</x:v>
      </x:c>
      <x:c r="F4" s="6" t="str">
        <x:v>Avg_views</x:v>
      </x:c>
      <x:c r="G4" s="12"/>
      <x:c r="H4" s="12"/>
      <x:c r="I4" s="12"/>
    </x:row>
    <x:row r="5">
      <x:c r="A5" s="12" t="str">
        <x:v>Bilibili</x:v>
      </x:c>
      <x:c r="B5" s="12" t="n">
        <x:f>COUNTIF(Sample_60!$A$2:$A$61,A5)</x:f>
        <x:v>30</x:v>
      </x:c>
      <x:c r="C5" s="47" t="n">
        <x:f>SUMIF(Sample_60!$A$2:$A$61,A5,Sample_60!$C$2:$C$61)</x:f>
        <x:v>10031000</x:v>
      </x:c>
      <x:c r="D5" s="12" t="n">
        <x:f>COUNTIFS(Sample_60!$A$2:$A$61,A5,Sample_60!$J$2:$J$61,"&lt;&gt;未确认")</x:f>
        <x:v>5</x:v>
      </x:c>
      <x:c r="E5" s="12" t="n">
        <x:f>COUNTIFS(Sample_60!$A$2:$A$61,A5,Sample_60!$J$2:$J$61,"未确认")</x:f>
        <x:v>25</x:v>
      </x:c>
      <x:c r="F5" s="47" t="n">
        <x:f>C5/B5</x:f>
        <x:v>334366.6666666667</x:v>
      </x:c>
      <x:c r="G5" s="12"/>
      <x:c r="H5" s="12"/>
      <x:c r="I5" s="12"/>
    </x:row>
    <x:row r="6">
      <x:c r="A6" s="12" t="str">
        <x:v>YouTube</x:v>
      </x:c>
      <x:c r="B6" s="12" t="n">
        <x:f>COUNTIF(Sample_60!$A$2:$A$61,A6)</x:f>
        <x:v>30</x:v>
      </x:c>
      <x:c r="C6" s="47" t="n">
        <x:f>SUMIF(Sample_60!$A$2:$A$61,A6,Sample_60!$C$2:$C$61)</x:f>
        <x:v>9967707</x:v>
      </x:c>
      <x:c r="D6" s="12" t="n">
        <x:f>COUNTIFS(Sample_60!$A$2:$A$61,A6,Sample_60!$J$2:$J$61,"&lt;&gt;未确认")</x:f>
        <x:v>10</x:v>
      </x:c>
      <x:c r="E6" s="12" t="n">
        <x:f>COUNTIFS(Sample_60!$A$2:$A$61,A6,Sample_60!$J$2:$J$61,"未确认")</x:f>
        <x:v>20</x:v>
      </x:c>
      <x:c r="F6" s="47" t="n">
        <x:f>C6/B6</x:f>
        <x:v>332256.9</x:v>
      </x:c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6" t="str">
        <x:v>Platform</x:v>
      </x:c>
      <x:c r="B9" s="6" t="str">
        <x:v>Tool / family</x:v>
      </x:c>
      <x:c r="C9" s="6" t="str">
        <x:v>Explicit_video_count</x:v>
      </x:c>
      <x:c r="D9" s="6" t="str">
        <x:v>Share_of_sample_videos</x:v>
      </x:c>
      <x:c r="E9" s="6" t="str">
        <x:v>Views_attached_to_explicit_rows</x:v>
      </x:c>
      <x:c r="F9" s="6" t="str">
        <x:v>Share_of_sample_views</x:v>
      </x:c>
      <x:c r="G9" s="12"/>
      <x:c r="H9" s="6" t="str">
        <x:v>Category</x:v>
      </x:c>
      <x:c r="I9" s="6" t="str">
        <x:v>View_share</x:v>
      </x:c>
    </x:row>
    <x:row r="10">
      <x:c r="A10" s="12" t="str">
        <x:v>Bilibili</x:v>
      </x:c>
      <x:c r="B10" s="12" t="str">
        <x:v>剪映</x:v>
      </x:c>
      <x:c r="C10" s="12" t="n">
        <x:f>SUMIFS(Sample_60!$K$2:$K$61,Sample_60!$A$2:$A$61,A10)</x:f>
        <x:v>5</x:v>
      </x:c>
      <x:c r="D10" s="48" t="n">
        <x:f>C10/IF(A10="Bilibili",$B$5,$B$6)</x:f>
        <x:v>0.16666666666666666</x:v>
      </x:c>
      <x:c r="E10" s="47" t="n">
        <x:f>SUMIFS(Sample_60!$C$2:$C$61,Sample_60!$A$2:$A$61,A10,Sample_60!$K$2:$K$61,1)</x:f>
        <x:v>6069000</x:v>
      </x:c>
      <x:c r="F10" s="48" t="n">
        <x:f>E10/IF(A10="Bilibili",$C$5,$C$6)</x:f>
        <x:v>0.6050244242847174</x:v>
      </x:c>
      <x:c r="G10" s="12"/>
      <x:c r="H10" s="12" t="str">
        <x:v>Bili-剪映</x:v>
      </x:c>
      <x:c r="I10" s="48" t="n">
        <x:f>F10</x:f>
        <x:v>0.6050244242847174</x:v>
      </x:c>
    </x:row>
    <x:row r="11">
      <x:c r="A11" s="12" t="str">
        <x:v>Bilibili</x:v>
      </x:c>
      <x:c r="B11" s="12" t="str">
        <x:v>Adobe（Premiere/AE）</x:v>
      </x:c>
      <x:c r="C11" s="12" t="n">
        <x:f>SUMIFS(Sample_60!$Q$2:$Q$61,Sample_60!$A$2:$A$61,A11)</x:f>
        <x:v>0</x:v>
      </x:c>
      <x:c r="D11" s="48" t="n">
        <x:f>C11/IF(A11="Bilibili",$B$5,$B$6)</x:f>
        <x:v>0</x:v>
      </x:c>
      <x:c r="E11" s="47" t="n">
        <x:f>SUMIFS(Sample_60!$C$2:$C$61,Sample_60!$A$2:$A$61,A11,Sample_60!$Q$2:$Q$61,1)</x:f>
        <x:v>0</x:v>
      </x:c>
      <x:c r="F11" s="48" t="n">
        <x:f>E11/IF(A11="Bilibili",$C$5,$C$6)</x:f>
        <x:v>0</x:v>
      </x:c>
      <x:c r="G11" s="12"/>
      <x:c r="H11" s="12" t="str">
        <x:v>Bili-Adobe</x:v>
      </x:c>
      <x:c r="I11" s="48" t="n">
        <x:f>F11</x:f>
        <x:v>0</x:v>
      </x:c>
    </x:row>
    <x:row r="12">
      <x:c r="A12" s="12" t="str">
        <x:v>YouTube</x:v>
      </x:c>
      <x:c r="B12" s="12" t="str">
        <x:v>Adobe（Premiere/AE）</x:v>
      </x:c>
      <x:c r="C12" s="12" t="n">
        <x:f>SUMIFS(Sample_60!$Q$2:$Q$61,Sample_60!$A$2:$A$61,A12)</x:f>
        <x:v>4</x:v>
      </x:c>
      <x:c r="D12" s="48" t="n">
        <x:f>C12/IF(A12="Bilibili",$B$5,$B$6)</x:f>
        <x:v>0.13333333333333333</x:v>
      </x:c>
      <x:c r="E12" s="47" t="n">
        <x:f>SUMIFS(Sample_60!$C$2:$C$61,Sample_60!$A$2:$A$61,A12,Sample_60!$Q$2:$Q$61,1)</x:f>
        <x:v>546377</x:v>
      </x:c>
      <x:c r="F12" s="48" t="n">
        <x:f>E12/IF(A12="Bilibili",$C$5,$C$6)</x:f>
        <x:v>0.05481471315318558</x:v>
      </x:c>
      <x:c r="G12" s="12"/>
      <x:c r="H12" s="12" t="str">
        <x:v>YT-Adobe</x:v>
      </x:c>
      <x:c r="I12" s="48" t="n">
        <x:f>F12</x:f>
        <x:v>0.05481471315318558</x:v>
      </x:c>
    </x:row>
    <x:row r="13">
      <x:c r="A13" s="12" t="str">
        <x:v>YouTube</x:v>
      </x:c>
      <x:c r="B13" s="12" t="str">
        <x:v>CapCut</x:v>
      </x:c>
      <x:c r="C13" s="12" t="n">
        <x:f>SUMIFS(Sample_60!$L$2:$L$61,Sample_60!$A$2:$A$61,A13)</x:f>
        <x:v>2</x:v>
      </x:c>
      <x:c r="D13" s="48" t="n">
        <x:f>C13/IF(A13="Bilibili",$B$5,$B$6)</x:f>
        <x:v>0.06666666666666667</x:v>
      </x:c>
      <x:c r="E13" s="47" t="n">
        <x:f>SUMIFS(Sample_60!$C$2:$C$61,Sample_60!$A$2:$A$61,A13,Sample_60!$L$2:$L$61,1)</x:f>
        <x:v>1246000</x:v>
      </x:c>
      <x:c r="F13" s="48" t="n">
        <x:f>E13/IF(A13="Bilibili",$C$5,$C$6)</x:f>
        <x:v>0.12500367436562893</x:v>
      </x:c>
      <x:c r="G13" s="12"/>
      <x:c r="H13" s="12" t="str">
        <x:v>YT-CapCut</x:v>
      </x:c>
      <x:c r="I13" s="48" t="n">
        <x:f>F13</x:f>
        <x:v>0.12500367436562893</x:v>
      </x:c>
    </x:row>
    <x:row r="14">
      <x:c r="A14" s="12" t="str">
        <x:v>YouTube</x:v>
      </x:c>
      <x:c r="B14" s="12" t="str">
        <x:v>DaVinci Resolve</x:v>
      </x:c>
      <x:c r="C14" s="12" t="n">
        <x:f>SUMIFS(Sample_60!$O$2:$O$61,Sample_60!$A$2:$A$61,A14)</x:f>
        <x:v>1</x:v>
      </x:c>
      <x:c r="D14" s="48" t="n">
        <x:f>C14/IF(A14="Bilibili",$B$5,$B$6)</x:f>
        <x:v>0.03333333333333333</x:v>
      </x:c>
      <x:c r="E14" s="47" t="n">
        <x:f>SUMIFS(Sample_60!$C$2:$C$61,Sample_60!$A$2:$A$61,A14,Sample_60!$O$2:$O$61,1)</x:f>
        <x:v>379000</x:v>
      </x:c>
      <x:c r="F14" s="48" t="n">
        <x:f>E14/IF(A14="Bilibili",$C$5,$C$6)</x:f>
        <x:v>0.03802278698601393</x:v>
      </x:c>
      <x:c r="G14" s="12"/>
      <x:c r="H14" s="12" t="str">
        <x:v>YT-DaVinci</x:v>
      </x:c>
      <x:c r="I14" s="48" t="n">
        <x:f>F14</x:f>
        <x:v>0.03802278698601393</x:v>
      </x:c>
    </x:row>
    <x:row r="15">
      <x:c r="A15" s="12" t="str">
        <x:v>YouTube</x:v>
      </x:c>
      <x:c r="B15" s="12" t="str">
        <x:v>Clipchamp</x:v>
      </x:c>
      <x:c r="C15" s="12" t="n">
        <x:f>SUMIFS(Sample_60!$P$2:$P$61,Sample_60!$A$2:$A$61,A15)</x:f>
        <x:v>2</x:v>
      </x:c>
      <x:c r="D15" s="48" t="n">
        <x:f>C15/IF(A15="Bilibili",$B$5,$B$6)</x:f>
        <x:v>0.06666666666666667</x:v>
      </x:c>
      <x:c r="E15" s="47" t="n">
        <x:f>SUMIFS(Sample_60!$C$2:$C$61,Sample_60!$A$2:$A$61,A15,Sample_60!$P$2:$P$61,1)</x:f>
        <x:v>2568243</x:v>
      </x:c>
      <x:c r="F15" s="48" t="n">
        <x:f>E15/IF(A15="Bilibili",$C$5,$C$6)</x:f>
        <x:v>0.2576563496499245</x:v>
      </x:c>
      <x:c r="G15" s="12"/>
      <x:c r="H15" s="12" t="str">
        <x:v>YT-Clipchamp</x:v>
      </x:c>
      <x:c r="I15" s="48" t="n">
        <x:f>F15</x:f>
        <x:v>0.2576563496499245</x:v>
      </x:c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49" t="str">
        <x:v>如何读这个样本</x:v>
      </x:c>
      <x:c r="B18" s="49"/>
      <x:c r="C18" s="49"/>
      <x:c r="D18" s="49"/>
      <x:c r="E18" s="49"/>
      <x:c r="F18" s="49"/>
      <x:c r="G18" s="49"/>
      <x:c r="H18" s="49"/>
      <x:c r="I18" s="12"/>
    </x:row>
    <x:row r="19">
      <x:c r="A19" s="6" t="str">
        <x:v>观察</x:v>
      </x:c>
      <x:c r="B19" s="6" t="str">
        <x:v>数据</x:v>
      </x:c>
      <x:c r="C19" s="6" t="str">
        <x:v>解释</x:v>
      </x:c>
      <x:c r="D19" s="12"/>
      <x:c r="E19" s="12"/>
      <x:c r="F19" s="12"/>
      <x:c r="G19" s="12"/>
      <x:c r="H19" s="12"/>
      <x:c r="I19" s="12"/>
    </x:row>
    <x:row r="20">
      <x:c r="A20" s="12" t="str">
        <x:v>Bilibili 剪映显性入口</x:v>
      </x:c>
      <x:c r="B20" s="12" t="str">
        <x:v>5/30；对应播放量约60.5%</x:v>
      </x:c>
      <x:c r="C20" s="12" t="str">
        <x:v>少数明确写出剪映的头部教程吃掉了大部分样本播放暴露；这是下限。</x:v>
      </x:c>
      <x:c r="D20" s="12"/>
      <x:c r="E20" s="12"/>
      <x:c r="F20" s="12"/>
      <x:c r="G20" s="12"/>
      <x:c r="H20" s="12"/>
      <x:c r="I20" s="12"/>
    </x:row>
    <x:row r="21">
      <x:c r="A21" s="12" t="str">
        <x:v>Bilibili Adobe 显性入口</x:v>
      </x:c>
      <x:c r="B21" s="12" t="str">
        <x:v>0/30</x:v>
      </x:c>
      <x:c r="C21" s="12" t="str">
        <x:v>没有明确编码到Premiere/AE；不能推出未知的25条里绝对没人用Adobe。</x:v>
      </x:c>
      <x:c r="D21" s="12"/>
      <x:c r="E21" s="12"/>
      <x:c r="F21" s="12"/>
      <x:c r="G21" s="12"/>
      <x:c r="H21" s="12"/>
      <x:c r="I21" s="12"/>
    </x:row>
    <x:row r="22">
      <x:c r="A22" s="12" t="str">
        <x:v>YouTube 后期工具</x:v>
      </x:c>
      <x:c r="B22" s="12" t="str">
        <x:v>Adobe、CapCut、DaVinci、Clipchamp均有明确样本</x:v>
      </x:c>
      <x:c r="C22" s="12" t="str">
        <x:v>英语教程入口明显更分散，没有收敛到单一NLE。</x:v>
      </x:c>
      <x:c r="D22" s="12"/>
      <x:c r="E22" s="12"/>
      <x:c r="F22" s="12"/>
      <x:c r="G22" s="12"/>
      <x:c r="H22" s="12"/>
      <x:c r="I22" s="12"/>
    </x:row>
    <x:row r="23">
      <x:c r="A23" s="12" t="str">
        <x:v>样本播放量</x:v>
      </x:c>
      <x:c r="B23" s="12" t="str">
        <x:v>两边都约1000万</x:v>
      </x:c>
      <x:c r="C23" s="12" t="str">
        <x:v>播放量暴露对照比只比较30条数量更有意义，但仍不是官方市场份额。</x:v>
      </x:c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</x:sheetData>
  <x:mergeCells>
    <x:mergeCell ref="A1:H1"/>
    <x:mergeCell ref="A2:H2"/>
    <x:mergeCell ref="A18:H18"/>
  </x:mergeCells>
  <x:pageMargins left="0.7" right="0.7" top="0.75" bottom="0.75" header="0.3" footer="0.3"/>
  <x:drawing xmlns:r="http://schemas.openxmlformats.org/officeDocument/2006/relationships" r:id="R8a5dbb24b30c4ee5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55" t="str">
        <x:v>固定样本 v1：定义、筛选与限制</x:v>
      </x:c>
      <x:c r="B1" s="55"/>
      <x:c r="C1" s="55"/>
      <x:c r="D1" s="55"/>
      <x:c r="E1" s="55"/>
      <x:c r="F1" s="55"/>
    </x:row>
    <x:row r="3">
      <x:c r="A3" s="14" t="str">
        <x:v>项目</x:v>
      </x:c>
      <x:c r="B3" s="14" t="str">
        <x:v>规则/说明</x:v>
      </x:c>
      <x:c r="C3" s="14" t="str"/>
      <x:c r="D3" s="14" t="str"/>
      <x:c r="E3" s="14" t="str"/>
      <x:c r="F3" s="14" t="str"/>
    </x:row>
    <x:row r="4">
      <x:c r="A4" s="15" t="str">
        <x:v>快照日期</x:v>
      </x:c>
      <x:c r="B4" s="15" t="str">
        <x:v>2026-08-16</x:v>
      </x:c>
      <x:c r="C4" s="15" t="str"/>
      <x:c r="D4" s="15" t="str"/>
      <x:c r="E4" s="15" t="str"/>
      <x:c r="F4" s="15" t="str"/>
    </x:row>
    <x:row r="5">
      <x:c r="A5" s="15" t="str">
        <x:v>研究对象</x:v>
      </x:c>
      <x:c r="B5" s="15" t="str">
        <x:v>AI短剧 / AI漫剧 / AI short film / AI filmmaking / AI animation 的完整或多阶段教程。</x:v>
      </x:c>
      <x:c r="C5" s="15" t="str"/>
      <x:c r="D5" s="15" t="str"/>
      <x:c r="E5" s="15" t="str"/>
      <x:c r="F5" s="15" t="str"/>
    </x:row>
    <x:row r="6">
      <x:c r="A6" s="15" t="str">
        <x:v>Bilibili中性发现词</x:v>
      </x:c>
      <x:c r="B6" s="15" t="str">
        <x:v>AI短剧 教程；AI漫剧 教程；AI电影 教程；AI视频 制作 全流程。不预先加入剪映/PR/AE等软件名。</x:v>
      </x:c>
      <x:c r="C6" s="15" t="str"/>
      <x:c r="D6" s="15" t="str"/>
      <x:c r="E6" s="15" t="str"/>
      <x:c r="F6" s="15" t="str"/>
    </x:row>
    <x:row r="7">
      <x:c r="A7" s="15" t="str">
        <x:v>YouTube中性发现词</x:v>
      </x:c>
      <x:c r="B7" s="15" t="str">
        <x:v>AI filmmaking tutorial；AI short film tutorial；AI movie tutorial；AI animation full workflow。</x:v>
      </x:c>
      <x:c r="C7" s="15" t="str"/>
      <x:c r="D7" s="15" t="str"/>
      <x:c r="E7" s="15" t="str"/>
      <x:c r="F7" s="15" t="str"/>
    </x:row>
    <x:row r="8">
      <x:c r="A8" s="15" t="str">
        <x:v>固定样本</x:v>
      </x:c>
      <x:c r="B8" s="15" t="str">
        <x:v>Bilibili 30条 + YouTube 30条，共60条。按本轮可见、可核验的高播放完整流程样本固定；以后复查保持这60个ID/标题不变。</x:v>
      </x:c>
      <x:c r="C8" s="15" t="str"/>
      <x:c r="D8" s="15" t="str"/>
      <x:c r="E8" s="15" t="str"/>
      <x:c r="F8" s="15" t="str"/>
    </x:row>
    <x:row r="9">
      <x:c r="A9" s="15" t="str">
        <x:v>不是官方Top30</x:v>
      </x:c>
      <x:c r="B9" s="15" t="str">
        <x:v>公共搜索和相关推荐不能稳定导出“全站按播放量绝对排序”的全集，因此本表只声称是“搜索可见高播放固定样本”。</x:v>
      </x:c>
      <x:c r="C9" s="15" t="str"/>
      <x:c r="D9" s="15" t="str"/>
      <x:c r="E9" s="15" t="str"/>
      <x:c r="F9" s="15" t="str"/>
    </x:row>
    <x:row r="10">
      <x:c r="A10" s="15" t="str">
        <x:v>播放量处理</x:v>
      </x:c>
      <x:c r="B10" s="15" t="str">
        <x:v>优先用平台/公共索引的抓取显示值；万/K/M换算成数值用于计算。播放量持续变化且有取整，因此是快照近似值。</x:v>
      </x:c>
      <x:c r="C10" s="15" t="str"/>
      <x:c r="D10" s="15" t="str"/>
      <x:c r="E10" s="15" t="str"/>
      <x:c r="F10" s="15" t="str"/>
    </x:row>
    <x:row r="11">
      <x:c r="A11" s="15" t="str">
        <x:v>编辑器编码</x:v>
      </x:c>
      <x:c r="B11" s="15" t="str">
        <x:v>只有标题、描述、作者说明、可核验转录/工作流复盘明确提到具体软件时才标1；只出现“剪辑/后期”一律记未确认。</x:v>
      </x:c>
      <x:c r="C11" s="15" t="str"/>
      <x:c r="D11" s="15" t="str"/>
      <x:c r="E11" s="15" t="str"/>
      <x:c r="F11" s="15" t="str"/>
    </x:row>
    <x:row r="12">
      <x:c r="A12" s="15" t="str">
        <x:v>Adobe口径</x:v>
      </x:c>
      <x:c r="B12" s="15" t="str">
        <x:v>Premiere Pro 或 After Effects 明确出现即 Adobe_any_explicit=1。</x:v>
      </x:c>
      <x:c r="C12" s="15" t="str"/>
      <x:c r="D12" s="15" t="str"/>
      <x:c r="E12" s="15" t="str"/>
      <x:c r="F12" s="15" t="str"/>
    </x:row>
    <x:row r="13">
      <x:c r="A13" s="15" t="str">
        <x:v>核心限制</x:v>
      </x:c>
      <x:c r="B13" s="15" t="str">
        <x:v>显性出现率衡量“教程入口暴露”的下限，不等于真实软件使用率；未确认教程可能实际用了任意后期软件。</x:v>
      </x:c>
      <x:c r="C13" s="15" t="str"/>
      <x:c r="D13" s="15" t="str"/>
      <x:c r="E13" s="15" t="str"/>
      <x:c r="F13" s="15" t="str"/>
    </x:row>
    <x:row r="14">
      <x:c r="A14" s="15" t="str">
        <x:v>两个指标</x:v>
      </x:c>
      <x:c r="B14" s="15" t="str">
        <x:v>条数渗透率 = 明确提到工具的视频数/30；播放量暴露率 = 这些视频播放量之和/该平台30条总播放量。</x:v>
      </x:c>
      <x:c r="C14" s="15" t="str"/>
      <x:c r="D14" s="15" t="str"/>
      <x:c r="E14" s="15" t="str"/>
      <x:c r="F14" s="15" t="str"/>
    </x:row>
    <x:row r="15">
      <x:c r="A15" s="15" t="str">
        <x:v>复查规则</x:v>
      </x:c>
      <x:c r="B15" s="15" t="str">
        <x:v>v1冻结。以后只更新这60条的播放量和新增可核验工具证据；如扩展新爆款另建v2，避免样本漂移。</x:v>
      </x:c>
      <x:c r="C15" s="15" t="str"/>
      <x:c r="D15" s="15" t="str"/>
      <x:c r="E15" s="15" t="str"/>
      <x:c r="F15" s="15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2" hidden="0" customWidth="1"/>
    <x:col min="4" max="4" width="48" hidden="0" customWidth="1"/>
    <x:col min="5" max="5" width="21" hidden="0" customWidth="1"/>
    <x:col min="6" max="6" width="20" hidden="0" customWidth="1"/>
    <x:col min="7" max="7" width="20" hidden="0" customWidth="1"/>
    <x:col min="8" max="8" width="40" hidden="0" customWidth="1"/>
    <x:col min="9" max="9" width="42" hidden="0" customWidth="1"/>
    <x:col min="10" max="10" width="14" hidden="0" customWidth="1"/>
    <x:col min="11" max="11" width="45" hidden="0" customWidth="1"/>
  </x:cols>
  <x:sheetData>
    <x:row r="1">
      <x:c r="A1" s="64" t="str">
        <x:v>Platform</x:v>
      </x:c>
      <x:c r="B1" s="64" t="str">
        <x:v>Observed_views</x:v>
      </x:c>
      <x:c r="C1" s="64" t="str">
        <x:v>Observed_display</x:v>
      </x:c>
      <x:c r="D1" s="64" t="str">
        <x:v>Tutorial_Title</x:v>
      </x:c>
      <x:c r="E1" s="64" t="str">
        <x:v>Explicit_Software</x:v>
      </x:c>
      <x:c r="F1" s="64" t="str">
        <x:v>Software_Family</x:v>
      </x:c>
      <x:c r="G1" s="64" t="str">
        <x:v>Pipeline_Role</x:v>
      </x:c>
      <x:c r="H1" s="64" t="str">
        <x:v>Direct_URL</x:v>
      </x:c>
      <x:c r="I1" s="64" t="str">
        <x:v>Count_Source_URL</x:v>
      </x:c>
      <x:c r="J1" s="64" t="str">
        <x:v>Evidence_Quality</x:v>
      </x:c>
      <x:c r="K1" s="64" t="str">
        <x:v>Interpretation_Note</x:v>
      </x:c>
    </x:row>
    <x:row r="2">
      <x:c r="A2" s="15" t="str">
        <x:v>Bilibili</x:v>
      </x:c>
      <x:c r="B2" s="18" t="n">
        <x:v>17499000</x:v>
      </x:c>
      <x:c r="C2" s="15" t="str">
        <x:v>1749.9万</x:v>
      </x:c>
      <x:c r="D2" s="15" t="str">
        <x:v>拜托三连了！这绝对是全B站最用心（没有之一）的PR公开课程，耗时千余小时开发！</x:v>
      </x:c>
      <x:c r="E2" s="15" t="str">
        <x:v>Premiere Pro</x:v>
      </x:c>
      <x:c r="F2" s="15" t="str">
        <x:v>Adobe</x:v>
      </x:c>
      <x:c r="G2" s="15" t="str">
        <x:v>NLE / 剪辑</x:v>
      </x:c>
      <x:c r="H2" s="15" t="str">
        <x:v>https://www.bilibili.com/video/BV1K64y1r7pp/</x:v>
      </x:c>
      <x:c r="I2" s="15" t="str">
        <x:v>https://www.bilibili.com/video/av619028897</x:v>
      </x:c>
      <x:c r="J2" s="15" t="str">
        <x:v>高</x:v>
      </x:c>
      <x:c r="K2" s="15" t="str">
        <x:v>相关推荐快照给出1749.9万；直接页面明确为PR公开课。</x:v>
      </x:c>
    </x:row>
    <x:row r="3">
      <x:c r="A3" s="15" t="str">
        <x:v>Bilibili</x:v>
      </x:c>
      <x:c r="B3" s="18" t="n">
        <x:v>12904000</x:v>
      </x:c>
      <x:c r="C3" s="15" t="str">
        <x:v>1290.4万</x:v>
      </x:c>
      <x:c r="D3" s="15" t="str">
        <x:v>[Pr教程]0基础急速上手视频制作！UP主必备！</x:v>
      </x:c>
      <x:c r="E3" s="15" t="str">
        <x:v>Premiere Pro</x:v>
      </x:c>
      <x:c r="F3" s="15" t="str">
        <x:v>Adobe</x:v>
      </x:c>
      <x:c r="G3" s="15" t="str">
        <x:v>NLE / 剪辑</x:v>
      </x:c>
      <x:c r="H3" s="15" t="str">
        <x:v>https://www.bilibili.com/video/BV1Ts411C7Yd/</x:v>
      </x:c>
      <x:c r="I3" s="15" t="str">
        <x:v>https://search.bilibili.com/all?keyword=Pr%E6%96%B0%E6%89%8B%E5%AD%A6%E4%B9%A0%E7%AF%87</x:v>
      </x:c>
      <x:c r="J3" s="15" t="str">
        <x:v>高</x:v>
      </x:c>
      <x:c r="K3" s="15" t="str">
        <x:v>B站搜索快照明确显示1290.4万，标题明确PR且面向UP主。</x:v>
      </x:c>
    </x:row>
    <x:row r="4">
      <x:c r="A4" s="15" t="str">
        <x:v>Bilibili</x:v>
      </x:c>
      <x:c r="B4" s="18" t="n">
        <x:v>8926000</x:v>
      </x:c>
      <x:c r="C4" s="15" t="str">
        <x:v>892.6万</x:v>
      </x:c>
      <x:c r="D4" s="15" t="str">
        <x:v>拜托三连了！这绝对是全B站最用心（没有之一）的AE公开课程，耗时千余小时开发！</x:v>
      </x:c>
      <x:c r="E4" s="15" t="str">
        <x:v>After Effects</x:v>
      </x:c>
      <x:c r="F4" s="15" t="str">
        <x:v>Adobe</x:v>
      </x:c>
      <x:c r="G4" s="15" t="str">
        <x:v>合成 / VFX / Motion</x:v>
      </x:c>
      <x:c r="H4" s="15" t="str">
        <x:v>https://www.bilibili.com/video/BV1ZA411g7Sb/</x:v>
      </x:c>
      <x:c r="I4" s="15" t="str">
        <x:v>https://www.bilibili.com/video/av619028897</x:v>
      </x:c>
      <x:c r="J4" s="15" t="str">
        <x:v>高</x:v>
      </x:c>
      <x:c r="K4" s="15" t="str">
        <x:v>相关推荐快照给出892.6万；直接页面明确AE课程。</x:v>
      </x:c>
    </x:row>
    <x:row r="5">
      <x:c r="A5" s="15" t="str">
        <x:v>Bilibili</x:v>
      </x:c>
      <x:c r="B5" s="18" t="n">
        <x:v>2257000</x:v>
      </x:c>
      <x:c r="C5" s="15" t="str">
        <x:v>225.7万</x:v>
      </x:c>
      <x:c r="D5" s="15" t="str">
        <x:v>拜托三连了！这绝对是全B站最用心（没有之一）的剪辑公开课程，轻松成为Up主由此开启！</x:v>
      </x:c>
      <x:c r="E5" s="15" t="str">
        <x:v>必剪</x:v>
      </x:c>
      <x:c r="F5" s="15" t="str">
        <x:v>Bilibili</x:v>
      </x:c>
      <x:c r="G5" s="15" t="str">
        <x:v>NLE / 剪辑</x:v>
      </x:c>
      <x:c r="H5" s="15" t="str">
        <x:v>https://www.bilibili.com/video/BV1hb4y1q7eE/</x:v>
      </x:c>
      <x:c r="I5" s="15" t="str">
        <x:v>https://www.bilibili.com/list/ml57415000</x:v>
      </x:c>
      <x:c r="J5" s="15" t="str">
        <x:v>高</x:v>
      </x:c>
      <x:c r="K5" s="15" t="str">
        <x:v>合集快照约225.7万；章节明确“用必剪制作一个视频的基本工作流程”。</x:v>
      </x:c>
    </x:row>
    <x:row r="6">
      <x:c r="A6" s="15" t="str">
        <x:v>Bilibili</x:v>
      </x:c>
      <x:c r="B6" s="18" t="n">
        <x:v>1704000</x:v>
      </x:c>
      <x:c r="C6" s="15" t="str">
        <x:v>170.4万</x:v>
      </x:c>
      <x:c r="D6" s="15" t="str">
        <x:v>绝对是b站最高质量的达芬奇教程！让你少走弯路！不看后悔，务必要收藏！！！</x:v>
      </x:c>
      <x:c r="E6" s="15" t="str">
        <x:v>DaVinci Resolve</x:v>
      </x:c>
      <x:c r="F6" s="15" t="str">
        <x:v>Blackmagic Design</x:v>
      </x:c>
      <x:c r="G6" s="15" t="str">
        <x:v>NLE / 调色</x:v>
      </x:c>
      <x:c r="H6" s="15" t="str">
        <x:v>https://www.bilibili.com/video/BV1WCawzCE8Q/</x:v>
      </x:c>
      <x:c r="I6" s="15" t="str">
        <x:v>https://search.bilibili.com/all?keyword=%E8%BE%BE%E8%8A%AC%E5%A5%87%E8%B0%83%E8%89%B2</x:v>
      </x:c>
      <x:c r="J6" s="15" t="str">
        <x:v>高</x:v>
      </x:c>
      <x:c r="K6" s="15" t="str">
        <x:v>B站搜索快照明确显示约170.4万。</x:v>
      </x:c>
    </x:row>
    <x:row r="7">
      <x:c r="A7" s="15" t="str">
        <x:v>Bilibili</x:v>
      </x:c>
      <x:c r="B7" s="18" t="n">
        <x:v>1516000</x:v>
      </x:c>
      <x:c r="C7" s="15" t="str">
        <x:v>151.6万</x:v>
      </x:c>
      <x:c r="D7" s="15" t="str">
        <x:v>【何同学】如何在B站学习做视频？（P2附Pr零基础剪辑教程）</x:v>
      </x:c>
      <x:c r="E7" s="15" t="str">
        <x:v>Premiere Pro</x:v>
      </x:c>
      <x:c r="F7" s="15" t="str">
        <x:v>Adobe</x:v>
      </x:c>
      <x:c r="G7" s="15" t="str">
        <x:v>NLE / 创作者入门</x:v>
      </x:c>
      <x:c r="H7" s="15" t="str">
        <x:v>https://www.bilibili.com/video/BV1EW411R77n/</x:v>
      </x:c>
      <x:c r="I7" s="15" t="str">
        <x:v>https://www.bilibili.com/video/BV1EW411R77n/</x:v>
      </x:c>
      <x:c r="J7" s="15" t="str">
        <x:v>高</x:v>
      </x:c>
      <x:c r="K7" s="15" t="str">
        <x:v>标题明确P2为Pr零基础剪辑教程；搜索快照显示151.6万。</x:v>
      </x:c>
    </x:row>
    <x:row r="8">
      <x:c r="A8" s="15" t="str">
        <x:v>Bilibili</x:v>
      </x:c>
      <x:c r="B8" s="18" t="n">
        <x:v>755000</x:v>
      </x:c>
      <x:c r="C8" s="15" t="str">
        <x:v>75.5万</x:v>
      </x:c>
      <x:c r="D8" s="15" t="str">
        <x:v>拜托三连了！这绝对是全B站最用心（没有之一）的C4D公开课程，耗时千余小时开发！</x:v>
      </x:c>
      <x:c r="E8" s="15" t="str">
        <x:v>Cinema 4D</x:v>
      </x:c>
      <x:c r="F8" s="15" t="str">
        <x:v>Maxon</x:v>
      </x:c>
      <x:c r="G8" s="15" t="str">
        <x:v>3D / Motion / VFX</x:v>
      </x:c>
      <x:c r="H8" s="15" t="str">
        <x:v>https://www.bilibili.com/video/BV1yg411L7EF/</x:v>
      </x:c>
      <x:c r="I8" s="15" t="str">
        <x:v>https://www.bilibili.com/list/ml449562464</x:v>
      </x:c>
      <x:c r="J8" s="15" t="str">
        <x:v>高</x:v>
      </x:c>
      <x:c r="K8" s="15" t="str">
        <x:v>播单快照显示75.5万；用于观察专业后期栈中非NLE工具。</x:v>
      </x:c>
    </x:row>
    <x:row r="9">
      <x:c r="A9" s="15" t="str">
        <x:v>YouTube</x:v>
      </x:c>
      <x:c r="B9" s="18" t="n">
        <x:v>2900000</x:v>
      </x:c>
      <x:c r="C9" s="15" t="str">
        <x:v>2.9M</x:v>
      </x:c>
      <x:c r="D9" s="15" t="str">
        <x:v>DaVinci Resolve 18 Tutorial for Beginners</x:v>
      </x:c>
      <x:c r="E9" s="15" t="str">
        <x:v>DaVinci Resolve</x:v>
      </x:c>
      <x:c r="F9" s="15" t="str">
        <x:v>Blackmagic Design</x:v>
      </x:c>
      <x:c r="G9" s="15" t="str">
        <x:v>NLE / 调色</x:v>
      </x:c>
      <x:c r="H9" s="15" t="str">
        <x:v>https://www.youtube.com/watch?v=EEksPdEc7aI</x:v>
      </x:c>
      <x:c r="I9" s="15" t="str">
        <x:v>https://www.youtube.com/watch?v=EEksPdEc7aI</x:v>
      </x:c>
      <x:c r="J9" s="15" t="str">
        <x:v>高</x:v>
      </x:c>
      <x:c r="K9" s="15" t="str">
        <x:v>YouTube公开索引显示2.9M。</x:v>
      </x:c>
    </x:row>
    <x:row r="10">
      <x:c r="A10" s="15" t="str">
        <x:v>YouTube</x:v>
      </x:c>
      <x:c r="B10" s="18" t="n">
        <x:v>2500000</x:v>
      </x:c>
      <x:c r="C10" s="15" t="str">
        <x:v>2.5M</x:v>
      </x:c>
      <x:c r="D10" s="15" t="str">
        <x:v>Adobe After Effects Full Course for Beginners | Latest After Effects Course</x:v>
      </x:c>
      <x:c r="E10" s="15" t="str">
        <x:v>After Effects</x:v>
      </x:c>
      <x:c r="F10" s="15" t="str">
        <x:v>Adobe</x:v>
      </x:c>
      <x:c r="G10" s="15" t="str">
        <x:v>合成 / VFX / Motion</x:v>
      </x:c>
      <x:c r="H10" s="15" t="str">
        <x:v>https://www.youtube.com/watch?v=dejuaIZvdQE</x:v>
      </x:c>
      <x:c r="I10" s="15" t="str">
        <x:v>https://www.youtube.com/watch?v=dejuaIZvdQE</x:v>
      </x:c>
      <x:c r="J10" s="15" t="str">
        <x:v>高</x:v>
      </x:c>
      <x:c r="K10" s="15" t="str">
        <x:v>YouTube公开索引显示2.5M。</x:v>
      </x:c>
    </x:row>
    <x:row r="11">
      <x:c r="A11" s="15" t="str">
        <x:v>YouTube</x:v>
      </x:c>
      <x:c r="B11" s="18" t="n">
        <x:v>2300000</x:v>
      </x:c>
      <x:c r="C11" s="15" t="str">
        <x:v>2.3M</x:v>
      </x:c>
      <x:c r="D11" s="15" t="str">
        <x:v>Adobe Premiere Pro Course for Beginners: Video Editing 2021</x:v>
      </x:c>
      <x:c r="E11" s="15" t="str">
        <x:v>Premiere Pro</x:v>
      </x:c>
      <x:c r="F11" s="15" t="str">
        <x:v>Adobe</x:v>
      </x:c>
      <x:c r="G11" s="15" t="str">
        <x:v>NLE / 剪辑</x:v>
      </x:c>
      <x:c r="H11" s="15" t="str">
        <x:v>https://www.youtube.com/watch?v=ggHNVXuV8-w</x:v>
      </x:c>
      <x:c r="I11" s="15" t="str">
        <x:v>https://www.youtube.com/watch?v=ggHNVXuV8-w</x:v>
      </x:c>
      <x:c r="J11" s="15" t="str">
        <x:v>高</x:v>
      </x:c>
      <x:c r="K11" s="15" t="str">
        <x:v>YouTube公开索引显示2.3M。</x:v>
      </x:c>
    </x:row>
    <x:row r="12">
      <x:c r="A12" s="15" t="str">
        <x:v>YouTube</x:v>
      </x:c>
      <x:c r="B12" s="18" t="n">
        <x:v>1600000</x:v>
      </x:c>
      <x:c r="C12" s="15" t="str">
        <x:v>1.6M</x:v>
      </x:c>
      <x:c r="D12" s="15" t="str">
        <x:v>Adobe Premiere Pro Course for Beginners [5 Hours]</x:v>
      </x:c>
      <x:c r="E12" s="15" t="str">
        <x:v>Premiere Pro</x:v>
      </x:c>
      <x:c r="F12" s="15" t="str">
        <x:v>Adobe</x:v>
      </x:c>
      <x:c r="G12" s="15" t="str">
        <x:v>NLE / 剪辑</x:v>
      </x:c>
      <x:c r="H12" s="15" t="str">
        <x:v>https://www.youtube.com/watch?v=SWHIhaWsTwY</x:v>
      </x:c>
      <x:c r="I12" s="15" t="str">
        <x:v>https://www.youtube.com/watch?v=SWHIhaWsTwY</x:v>
      </x:c>
      <x:c r="J12" s="15" t="str">
        <x:v>高</x:v>
      </x:c>
      <x:c r="K12" s="15" t="str">
        <x:v>YouTube公开索引显示1.6M。</x:v>
      </x:c>
    </x:row>
    <x:row r="13">
      <x:c r="A13" s="15" t="str">
        <x:v>YouTube</x:v>
      </x:c>
      <x:c r="B13" s="18" t="n">
        <x:v>1300000</x:v>
      </x:c>
      <x:c r="C13" s="15" t="str">
        <x:v>1.3M</x:v>
      </x:c>
      <x:c r="D13" s="15" t="str">
        <x:v>Learn AFTER EFFECTS in 15 MINUTES - Full Beginner Tutorial</x:v>
      </x:c>
      <x:c r="E13" s="15" t="str">
        <x:v>After Effects</x:v>
      </x:c>
      <x:c r="F13" s="15" t="str">
        <x:v>Adobe</x:v>
      </x:c>
      <x:c r="G13" s="15" t="str">
        <x:v>合成 / VFX / Motion</x:v>
      </x:c>
      <x:c r="H13" s="15" t="str">
        <x:v>https://www.youtube.com/watch?v=8pKTO3xo0xE</x:v>
      </x:c>
      <x:c r="I13" s="15" t="str">
        <x:v>https://www.youtube.com/watch?v=8pKTO3xo0xE</x:v>
      </x:c>
      <x:c r="J13" s="15" t="str">
        <x:v>高</x:v>
      </x:c>
      <x:c r="K13" s="15" t="str">
        <x:v>YouTube公开索引显示1.3M。</x:v>
      </x:c>
    </x:row>
    <x:row r="14">
      <x:c r="A14" s="15" t="str">
        <x:v>YouTube</x:v>
      </x:c>
      <x:c r="B14" s="18" t="n">
        <x:v>1100000</x:v>
      </x:c>
      <x:c r="C14" s="15" t="str">
        <x:v>1.1M</x:v>
      </x:c>
      <x:c r="D14" s="15" t="str">
        <x:v>Final Cut Pro Tutorial: Complete Beginners Guide to Editing</x:v>
      </x:c>
      <x:c r="E14" s="15" t="str">
        <x:v>Final Cut Pro</x:v>
      </x:c>
      <x:c r="F14" s="15" t="str">
        <x:v>Apple</x:v>
      </x:c>
      <x:c r="G14" s="15" t="str">
        <x:v>NLE / 剪辑</x:v>
      </x:c>
      <x:c r="H14" s="15" t="str">
        <x:v>https://www.youtube.com/watch?v=MotoguQBDHY</x:v>
      </x:c>
      <x:c r="I14" s="15" t="str">
        <x:v>https://www.youtube.com/watch?v=MotoguQBDHY</x:v>
      </x:c>
      <x:c r="J14" s="15" t="str">
        <x:v>高</x:v>
      </x:c>
      <x:c r="K14" s="15" t="str">
        <x:v>YouTube公开索引显示1.1M。</x:v>
      </x:c>
    </x:row>
    <x:row r="15">
      <x:c r="A15" s="15" t="str">
        <x:v>YouTube</x:v>
      </x:c>
      <x:c r="B15" s="18" t="n">
        <x:v>1100000</x:v>
      </x:c>
      <x:c r="C15" s="15" t="str">
        <x:v>1.1M</x:v>
      </x:c>
      <x:c r="D15" s="15" t="str">
        <x:v>FINAL CUT PRO - Beginner Tutorial</x:v>
      </x:c>
      <x:c r="E15" s="15" t="str">
        <x:v>Final Cut Pro</x:v>
      </x:c>
      <x:c r="F15" s="15" t="str">
        <x:v>Apple</x:v>
      </x:c>
      <x:c r="G15" s="15" t="str">
        <x:v>NLE / 剪辑</x:v>
      </x:c>
      <x:c r="H15" s="15" t="str">
        <x:v>https://www.youtube.com/watch?v=hNWLw0hiX5Y</x:v>
      </x:c>
      <x:c r="I15" s="15" t="str">
        <x:v>https://www.youtube.com/watch?v=hNWLw0hiX5Y</x:v>
      </x:c>
      <x:c r="J15" s="15" t="str">
        <x:v>高</x:v>
      </x:c>
      <x:c r="K15" s="15" t="str">
        <x:v>YouTube公开索引显示1.1M。</x:v>
      </x:c>
    </x:row>
  </x:sheetData>
  <x:conditionalFormatting sqref="F2:F15">
    <x:cfRule type="expression" dxfId="8" priority="1">
      <x:formula>F2="Adobe"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07c1876d9744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9" hidden="0" customWidth="1"/>
    <x:col min="3" max="3" width="26" hidden="0" customWidth="1"/>
    <x:col min="4" max="4" width="22" hidden="0" customWidth="1"/>
    <x:col min="5" max="5" width="22" hidden="0" customWidth="1"/>
    <x:col min="6" max="6" width="42" hidden="0" customWidth="1"/>
    <x:col min="7" max="7" width="5" hidden="0" customWidth="1"/>
    <x:col min="8" max="8" width="5" hidden="0" customWidth="1"/>
  </x:cols>
  <x:sheetData>
    <x:row r="1">
      <x:c r="A1" s="67" t="str">
        <x:v>两层教程生态对照：AI短剧入口 vs 中长视频/专业后期入口</x:v>
      </x:c>
      <x:c r="B1" s="67"/>
      <x:c r="C1" s="67"/>
      <x:c r="D1" s="67"/>
      <x:c r="E1" s="67"/>
      <x:c r="F1" s="67"/>
      <x:c r="G1" s="67"/>
      <x:c r="H1" s="67"/>
    </x:row>
    <x:row r="2">
      <x:c r="A2" s="70" t="str">
        <x:v>第二层 HQ_Benchmark_14 是“高置信、软件明确、搜索可见高播放基准”，用于证明专业后期生态里哪些软件具有真实的大规模学习入口；它不是中性Top-N，因此不要把其内部占比当作平台市场份额。</x:v>
      </x:c>
      <x:c r="B2" s="70"/>
      <x:c r="C2" s="70"/>
      <x:c r="D2" s="70"/>
      <x:c r="E2" s="70"/>
      <x:c r="F2" s="70"/>
      <x:c r="G2" s="70"/>
      <x:c r="H2" s="70"/>
    </x:row>
    <x:row r="4">
      <x:c r="A4" s="63" t="str">
        <x:v>Layer</x:v>
      </x:c>
      <x:c r="B4" s="63" t="str">
        <x:v>Platform</x:v>
      </x:c>
      <x:c r="C4" s="63" t="str">
        <x:v>Metric</x:v>
      </x:c>
      <x:c r="D4" s="63" t="str">
        <x:v>Adobe</x:v>
      </x:c>
      <x:c r="E4" s="63" t="str">
        <x:v>剪映/必剪</x:v>
      </x:c>
      <x:c r="F4" s="63" t="str">
        <x:v>DaVinci</x:v>
      </x:c>
      <x:c r="G4" s="63" t="str">
        <x:v>Other</x:v>
      </x:c>
      <x:c r="J4" s="63" t="str">
        <x:v>Series</x:v>
      </x:c>
      <x:c r="K4" s="63" t="str">
        <x:v>Views</x:v>
      </x:c>
    </x:row>
    <x:row r="5">
      <x:c r="A5" t="str">
        <x:v>AI短剧/AI影视 v1</x:v>
      </x:c>
      <x:c r="B5" t="str">
        <x:v>Bilibili</x:v>
      </x:c>
      <x:c r="C5" t="str">
        <x:v>显性教程条数（n=30）</x:v>
      </x:c>
      <x:c r="D5" t="n">
        <x:v>0</x:v>
      </x:c>
      <x:c r="E5" t="n">
        <x:v>5</x:v>
      </x:c>
      <x:c r="F5" t="n">
        <x:v>0</x:v>
      </x:c>
      <x:c r="G5" t="str">
        <x:v>其余25条编辑器未确认</x:v>
      </x:c>
      <x:c r="J5" t="str">
        <x:v>Bili-HQ Adobe</x:v>
      </x:c>
      <x:c r="K5" s="36" t="n">
        <x:f>D8</x:f>
        <x:v>40845000</x:v>
      </x:c>
    </x:row>
    <x:row r="6">
      <x:c r="A6" t="str">
        <x:v>AI短剧/AI影视 v1</x:v>
      </x:c>
      <x:c r="B6" t="str">
        <x:v>YouTube</x:v>
      </x:c>
      <x:c r="C6" t="str">
        <x:v>显性教程条数（n=30）</x:v>
      </x:c>
      <x:c r="D6" t="n">
        <x:v>4</x:v>
      </x:c>
      <x:c r="E6" t="n">
        <x:v>2</x:v>
      </x:c>
      <x:c r="F6" t="n">
        <x:v>1</x:v>
      </x:c>
      <x:c r="G6" t="str">
        <x:v>Clipchamp 2；其余未确认</x:v>
      </x:c>
      <x:c r="J6" t="str">
        <x:v>Bili-HQ 必剪</x:v>
      </x:c>
      <x:c r="K6" s="36" t="n">
        <x:f>E8</x:f>
        <x:v>2257000</x:v>
      </x:c>
    </x:row>
    <x:row r="7">
      <x:c r="A7"/>
      <x:c r="B7"/>
      <x:c r="C7"/>
      <x:c r="D7"/>
      <x:c r="E7"/>
      <x:c r="F7"/>
      <x:c r="G7"/>
      <x:c r="J7" t="str">
        <x:v>Bili-HQ DaVinci</x:v>
      </x:c>
      <x:c r="K7" s="36" t="n">
        <x:f>F8</x:f>
        <x:v>1704000</x:v>
      </x:c>
    </x:row>
    <x:row r="8">
      <x:c r="A8" t="str">
        <x:v>中长/专业后期 benchmark</x:v>
      </x:c>
      <x:c r="B8" t="str">
        <x:v>Bilibili</x:v>
      </x:c>
      <x:c r="C8" t="str">
        <x:v>高置信教程播放量（仅本基准）</x:v>
      </x:c>
      <x:c r="D8" s="36" t="n">
        <x:f>SUMIFS(HQ_Benchmark_14!$B$2:$B$15,HQ_Benchmark_14!$A$2:$A$15,"Bilibili",HQ_Benchmark_14!$F$2:$F$15,"Adobe")</x:f>
        <x:v>40845000</x:v>
      </x:c>
      <x:c r="E8" s="36" t="n">
        <x:f>SUMIFS(HQ_Benchmark_14!$B$2:$B$15,HQ_Benchmark_14!$A$2:$A$15,"Bilibili",HQ_Benchmark_14!$F$2:$F$15,"Bilibili")</x:f>
        <x:v>2257000</x:v>
      </x:c>
      <x:c r="F8" s="36" t="n">
        <x:f>SUMIFS(HQ_Benchmark_14!$B$2:$B$15,HQ_Benchmark_14!$A$2:$A$15,"Bilibili",HQ_Benchmark_14!$E$2:$E$15,"DaVinci Resolve")</x:f>
        <x:v>1704000</x:v>
      </x:c>
      <x:c r="G8" s="36" t="n">
        <x:f>SUMIFS(HQ_Benchmark_14!$B$2:$B$15,HQ_Benchmark_14!$A$2:$A$15,"Bilibili")-SUM(D8:F8)</x:f>
        <x:v>755000</x:v>
      </x:c>
      <x:c r="J8" t="str">
        <x:v>YT-HQ Adobe</x:v>
      </x:c>
      <x:c r="K8" s="36" t="n">
        <x:f>D9</x:f>
        <x:v>7700000</x:v>
      </x:c>
    </x:row>
    <x:row r="9">
      <x:c r="A9" t="str">
        <x:v>中长/专业后期 benchmark</x:v>
      </x:c>
      <x:c r="B9" t="str">
        <x:v>YouTube</x:v>
      </x:c>
      <x:c r="C9" t="str">
        <x:v>高置信教程播放量（仅本基准）</x:v>
      </x:c>
      <x:c r="D9" s="36" t="n">
        <x:f>SUMIFS(HQ_Benchmark_14!$B$2:$B$15,HQ_Benchmark_14!$A$2:$A$15,"YouTube",HQ_Benchmark_14!$F$2:$F$15,"Adobe")</x:f>
        <x:v>7700000</x:v>
      </x:c>
      <x:c r="E9" s="36" t="n">
        <x:v>0</x:v>
      </x:c>
      <x:c r="F9" s="36" t="n">
        <x:f>SUMIFS(HQ_Benchmark_14!$B$2:$B$15,HQ_Benchmark_14!$A$2:$A$15,"YouTube",HQ_Benchmark_14!$E$2:$E$15,"DaVinci Resolve")</x:f>
        <x:v>2900000</x:v>
      </x:c>
      <x:c r="G9" s="36" t="n">
        <x:f>SUMIFS(HQ_Benchmark_14!$B$2:$B$15,HQ_Benchmark_14!$A$2:$A$15,"YouTube")-SUM(D9:F9)</x:f>
        <x:v>2200000</x:v>
      </x:c>
      <x:c r="J9" t="str">
        <x:v>YT-HQ DaVinci</x:v>
      </x:c>
      <x:c r="K9" s="36" t="n">
        <x:f>F9</x:f>
        <x:v>2900000</x:v>
      </x:c>
    </x:row>
    <x:row r="10">
      <x:c r="J10" t="str">
        <x:v>YT-HQ Final Cut</x:v>
      </x:c>
      <x:c r="K10" s="36" t="n">
        <x:f>SUMIFS(HQ_Benchmark_14!$B$2:$B$15,HQ_Benchmark_14!$A$2:$A$15,"YouTube",HQ_Benchmark_14!$E$2:$E$15,"Final Cut Pro")</x:f>
        <x:v>2200000</x:v>
      </x:c>
    </x:row>
    <x:row r="12">
      <x:c r="A12" s="63" t="str">
        <x:v>Key finding</x:v>
      </x:c>
      <x:c r="B12" s="63" t="str">
        <x:v>Bilibili AI短剧</x:v>
      </x:c>
      <x:c r="C12" s="63" t="str">
        <x:v>Bilibili 专业后期</x:v>
      </x:c>
      <x:c r="D12" s="63" t="str">
        <x:v>YouTube AI filmmaking</x:v>
      </x:c>
      <x:c r="E12" s="63" t="str">
        <x:v>YouTube 专业后期</x:v>
      </x:c>
      <x:c r="F12" s="63" t="str">
        <x:v>Interpretation</x:v>
      </x:c>
      <x:c r="G12" s="63" t="str"/>
      <x:c r="H12" s="63" t="str"/>
    </x:row>
    <x:row r="13">
      <x:c r="A13" s="12" t="str">
        <x:v>Adobe入口</x:v>
      </x:c>
      <x:c r="B13" s="12" t="str">
        <x:v>v1: 0/30 显性</x:v>
      </x:c>
      <x:c r="C13" s="12" t="str">
        <x:v>本高置信基准：4条Adobe教程合计播放量 &gt; 4000万</x:v>
      </x:c>
      <x:c r="D13" s="12" t="str">
        <x:v>v1: 4/30 显性</x:v>
      </x:c>
      <x:c r="E13" s="12" t="str">
        <x:v>Premiere/AE 多条百万级课程</x:v>
      </x:c>
      <x:c r="F13" s="12" t="str">
        <x:v>中国不是“没有Adobe”，而是AI短剧入口出现明显绕行。</x:v>
      </x:c>
      <x:c r="G13" s="12" t="str"/>
      <x:c r="H13" s="12" t="str"/>
    </x:row>
    <x:row r="14">
      <x:c r="A14" s="12" t="str">
        <x:v>平台型编辑器</x:v>
      </x:c>
      <x:c r="B14" s="12" t="str">
        <x:v>剪映头部教程占v1样本播放暴露60.5%</x:v>
      </x:c>
      <x:c r="C14" s="12" t="str">
        <x:v>必剪存在百万级UP主入门课程</x:v>
      </x:c>
      <x:c r="D14" s="12" t="str">
        <x:v>CapCut存在，但未垄断</x:v>
      </x:c>
      <x:c r="E14" s="12" t="str">
        <x:v>专业NLE多元</x:v>
      </x:c>
      <x:c r="F14" s="12" t="str">
        <x:v>快速生产与专业后期是两套不同学习路径。</x:v>
      </x:c>
      <x:c r="G14" s="12" t="str"/>
      <x:c r="H14" s="12" t="str"/>
    </x:row>
    <x:row r="15">
      <x:c r="A15" s="12" t="str">
        <x:v>专业替代品</x:v>
      </x:c>
      <x:c r="B15" s="12" t="str">
        <x:v>v1里DaVinci显性很少</x:v>
      </x:c>
      <x:c r="C15" s="12" t="str">
        <x:v>达芬奇单教程约170万</x:v>
      </x:c>
      <x:c r="D15" s="12" t="str">
        <x:v>v1里DaVinci存在</x:v>
      </x:c>
      <x:c r="E15" s="12" t="str">
        <x:v>DaVinci单教程2.9M</x:v>
      </x:c>
      <x:c r="F15" s="12" t="str">
        <x:v>DaVinci在两边专业层都是真实竞争者。</x:v>
      </x:c>
      <x:c r="G15" s="12" t="str"/>
      <x:c r="H15" s="12" t="str"/>
    </x:row>
    <x:row r="16">
      <x:c r="A16" s="12" t="str">
        <x:v>结论边界</x:v>
      </x:c>
      <x:c r="B16" s="12" t="str">
        <x:v>教程入口≠真实市场份额</x:v>
      </x:c>
      <x:c r="C16" s="12" t="str">
        <x:v>benchmark不是Top-N</x:v>
      </x:c>
      <x:c r="D16" s="12" t="str">
        <x:v>教程入口≠真实市场份额</x:v>
      </x:c>
      <x:c r="E16" s="12" t="str">
        <x:v>benchmark不是Top-N</x:v>
      </x:c>
      <x:c r="F16" s="12" t="str">
        <x:v>证据支持“学习入口分层”，不支持精确市场占有率。</x:v>
      </x:c>
      <x:c r="G16" s="12" t="str"/>
      <x:c r="H16" s="12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285f7dbf0344ac7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5" hidden="0" customWidth="1"/>
    <x:col min="4" max="4" width="34" hidden="0" customWidth="1"/>
    <x:col min="5" max="5" width="36" hidden="0" customWidth="1"/>
    <x:col min="6" max="6" width="42" hidden="0" customWidth="1"/>
    <x:col min="7" max="7" width="48" hidden="0" customWidth="1"/>
  </x:cols>
  <x:sheetData>
    <x:row r="1">
      <x:c r="A1" s="64" t="str">
        <x:v>Region/Org</x:v>
      </x:c>
      <x:c r="B1" s="64" t="str">
        <x:v>Role</x:v>
      </x:c>
      <x:c r="C1" s="64" t="str">
        <x:v>Content_Type</x:v>
      </x:c>
      <x:c r="D1" s="64" t="str">
        <x:v>Explicit_Tools</x:v>
      </x:c>
      <x:c r="E1" s="64" t="str">
        <x:v>Quality/Longform_Signal</x:v>
      </x:c>
      <x:c r="F1" s="64" t="str">
        <x:v>Source_URL</x:v>
      </x:c>
      <x:c r="G1" s="64" t="str">
        <x:v>Evidence_Note</x:v>
      </x:c>
    </x:row>
    <x:row r="2">
      <x:c r="A2" s="15" t="str">
        <x:v>China / Bilibili</x:v>
      </x:c>
      <x:c r="B2" s="15" t="str">
        <x:v>营销专员（AI视频方向）</x:v>
      </x:c>
      <x:c r="C2" s="15" t="str">
        <x:v>AI视频 / 商业营销</x:v>
      </x:c>
      <x:c r="D2" s="15" t="str">
        <x:v>PR / Final Cut / DaVinci / AE</x:v>
      </x:c>
      <x:c r="E2" s="15" t="str">
        <x:v>要求独立成片；从拍摄到后期</x:v>
      </x:c>
      <x:c r="F2" s="15" t="str">
        <x:v>https://jobs.bilibili.com/social/positions/28555</x:v>
      </x:c>
      <x:c r="G2" s="15" t="str">
        <x:v>Bilibili官方2026-06-03职位：专业AI视频岗位直接要求PR/FCP/达芬奇/AE。</x:v>
      </x:c>
    </x:row>
    <x:row r="3">
      <x:c r="A3" s="15" t="str">
        <x:v>US / Cinegency</x:v>
      </x:c>
      <x:c r="B3" s="15" t="str">
        <x:v>Professional YouTube Video Editor</x:v>
      </x:c>
      <x:c r="C3" s="15" t="str">
        <x:v>YouTube 6–10分钟</x:v>
      </x:c>
      <x:c r="D3" s="15" t="str">
        <x:v>Premiere Pro / After Effects</x:v>
      </x:c>
      <x:c r="E3" s="15" t="str">
        <x:v>cinematic editing / pacing / storytelling / high-quality edits</x:v>
      </x:c>
      <x:c r="F3" s="15" t="str">
        <x:v>https://www.linkedin.com/jobs/view/4399142277</x:v>
      </x:c>
      <x:c r="G3" s="15" t="str">
        <x:v>明确要求Premiere Pro与After Effects。</x:v>
      </x:c>
    </x:row>
    <x:row r="4">
      <x:c r="A4" s="15" t="str">
        <x:v>US / RossCreations</x:v>
      </x:c>
      <x:c r="B4" s="15" t="str">
        <x:v>Lead YouTube Editor</x:v>
      </x:c>
      <x:c r="C4" s="15" t="str">
        <x:v>长视频 8–40+分钟</x:v>
      </x:c>
      <x:c r="D4" s="15" t="str">
        <x:v>Premiere Pro / After Effects / Photoshop</x:v>
      </x:c>
      <x:c r="E4" s="15" t="str">
        <x:v>story-driven long-form；VFX与visual polish</x:v>
      </x:c>
      <x:c r="F4" s="15" t="str">
        <x:v>https://www.linkedin.com/jobs/view/4255369085</x:v>
      </x:c>
      <x:c r="G4" s="15" t="str">
        <x:v>长视频主剪Premiere，需要时用AE做motion/VFX。</x:v>
      </x:c>
    </x:row>
    <x:row r="5">
      <x:c r="A5" s="15" t="str">
        <x:v>US / Snowball</x:v>
      </x:c>
      <x:c r="B5" s="15" t="str">
        <x:v>YouTube Video Editor</x:v>
      </x:c>
      <x:c r="C5" s="15" t="str">
        <x:v>高曝光 long-form YouTube</x:v>
      </x:c>
      <x:c r="D5" s="15" t="str">
        <x:v>Premiere Pro / Frame.io；AE加分</x:v>
      </x:c>
      <x:c r="E5" s="15" t="str">
        <x:v>强调retention、storytelling、creative polish</x:v>
      </x:c>
      <x:c r="F5" s="15" t="str">
        <x:v>https://www.linkedin.com/jobs/view/4416489860</x:v>
      </x:c>
      <x:c r="G5" s="15" t="str">
        <x:v>3–5年专业经验；Premiere为明确必备。</x:v>
      </x:c>
    </x:row>
    <x:row r="6">
      <x:c r="A6" s="15" t="str">
        <x:v>US / MrBeast</x:v>
      </x:c>
      <x:c r="B6" s="15" t="str">
        <x:v>Video Editor, Reacts</x:v>
      </x:c>
      <x:c r="C6" s="15" t="str">
        <x:v>高节奏YouTube</x:v>
      </x:c>
      <x:c r="D6" s="15" t="str">
        <x:v>Premiere Pro / After Effects</x:v>
      </x:c>
      <x:c r="E6" s="15" t="str">
        <x:v>内部后期标准； retention curves；expert-level</x:v>
      </x:c>
      <x:c r="F6" s="15" t="str">
        <x:v>https://job-boards.greenhouse.io/mrbeastyoutube/jobs/6128701004</x:v>
      </x:c>
      <x:c r="G6" s="15" t="str">
        <x:v>当前招聘明确专家级Premiere+AE。</x:v>
      </x:c>
    </x:row>
    <x:row r="7">
      <x:c r="A7" s="15" t="str">
        <x:v>US / Foundry (PCWorld/Macworld/Tech Advisor)</x:v>
      </x:c>
      <x:c r="B7" s="15" t="str">
        <x:v>Video Production Manager</x:v>
      </x:c>
      <x:c r="C7" s="15" t="str">
        <x:v>长短视频 / YouTube / 科技媒体</x:v>
      </x:c>
      <x:c r="D7" s="15" t="str">
        <x:v>Premiere Pro；AE/Photoshop偏好</x:v>
      </x:c>
      <x:c r="E7" s="15" t="str">
        <x:v>advanced Premiere；long-form edits；QA与专业制作流程</x:v>
      </x:c>
      <x:c r="F7" s="15" t="str">
        <x:v>https://www.linkedin.com/jobs/view/4402033314</x:v>
      </x:c>
      <x:c r="G7" s="15" t="str">
        <x:v>负责long- and short-form；高级Premiere为required。</x:v>
      </x:c>
    </x:row>
  </x:sheetData>
  <x:pageMargins left="0.7" right="0.7" top="0.75" bottom="0.75" header="0.3" footer="0.3"/>
  <x:tableParts count="1">
    <x:tablePart xmlns:r="http://schemas.openxmlformats.org/officeDocument/2006/relationships" r:id="R34a78ffd4d8f40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67" t="str">
        <x:v>v2研究说明：为什么第二层结果改变了“Adobe在中国缺席”的说法</x:v>
      </x:c>
      <x:c r="B1" s="67"/>
      <x:c r="C1" s="67"/>
      <x:c r="D1" s="67"/>
      <x:c r="E1" s="67"/>
      <x:c r="F1" s="67"/>
    </x:row>
    <x:row r="3">
      <x:c r="A3" s="64" t="str">
        <x:v>项目</x:v>
      </x:c>
      <x:c r="B3" s="64" t="str">
        <x:v>说明</x:v>
      </x:c>
      <x:c r="C3" s="64" t="str"/>
      <x:c r="D3" s="64" t="str"/>
      <x:c r="E3" s="64" t="str"/>
      <x:c r="F3" s="64" t="str"/>
    </x:row>
    <x:row r="4">
      <x:c r="A4" s="15" t="str">
        <x:v>核心区分</x:v>
      </x:c>
      <x:c r="B4" s="15" t="str">
        <x:v>必须把“AI短剧/快速AIGC生产”与“中长视频/高质量/专业后期”分层。把它们混成一个平均值会掩盖工具链分叉。</x:v>
      </x:c>
      <x:c r="C4" s="15" t="str"/>
      <x:c r="D4" s="15" t="str"/>
      <x:c r="E4" s="15" t="str"/>
      <x:c r="F4" s="15" t="str"/>
    </x:row>
    <x:row r="5">
      <x:c r="A5" s="15" t="str">
        <x:v>v1证据</x:v>
      </x:c>
      <x:c r="B5" s="15" t="str">
        <x:v>Bilibili 30条AI影视教程中，剪映显性5/30，却承载约60.5%样本播放；Adobe显性0/30。</x:v>
      </x:c>
      <x:c r="C5" s="15" t="str"/>
      <x:c r="D5" s="15" t="str"/>
      <x:c r="E5" s="15" t="str"/>
      <x:c r="F5" s="15" t="str"/>
    </x:row>
    <x:row r="6">
      <x:c r="A6" s="15" t="str">
        <x:v>v2证据</x:v>
      </x:c>
      <x:c r="B6" s="15" t="str">
        <x:v>Bilibili传统/专业后期的高播放教程里，PR与AE具有千万级、近千万级学习入口；所以“B站没有Adobe”是错误的。</x:v>
      </x:c>
      <x:c r="C6" s="15" t="str"/>
      <x:c r="D6" s="15" t="str"/>
      <x:c r="E6" s="15" t="str"/>
      <x:c r="F6" s="15" t="str"/>
    </x:row>
    <x:row r="7">
      <x:c r="A7" s="15" t="str">
        <x:v>更准确命题</x:v>
      </x:c>
      <x:c r="B7" s="15" t="str">
        <x:v>中国Bilibili的AI短剧新手入口明显绕开Adobe，但一旦进入中长视频、专业剪辑、VFX/合成，Adobe重新成为强势工具链之一。</x:v>
      </x:c>
      <x:c r="C7" s="15" t="str"/>
      <x:c r="D7" s="15" t="str"/>
      <x:c r="E7" s="15" t="str"/>
      <x:c r="F7" s="15" t="str"/>
    </x:row>
    <x:row r="8">
      <x:c r="A8" s="15" t="str">
        <x:v>YouTube对照</x:v>
      </x:c>
      <x:c r="B8" s="15" t="str">
        <x:v>YouTube专业学习入口同样有Premiere/AE的大量百万级课程，但DaVinci与Final Cut也都有百万级入口，属于多NLE并存。</x:v>
      </x:c>
      <x:c r="C8" s="15" t="str"/>
      <x:c r="D8" s="15" t="str"/>
      <x:c r="E8" s="15" t="str"/>
      <x:c r="F8" s="15" t="str"/>
    </x:row>
    <x:row r="9">
      <x:c r="A9" s="15" t="str">
        <x:v>招聘交叉验证</x:v>
      </x:c>
      <x:c r="B9" s="15" t="str">
        <x:v>Bilibili自己的AI视频岗位要求PR/FCP/达芬奇/AE；美国多个长视频YouTube岗位直接要求Premiere/AE。教程生态与劳动市场信号方向一致。</x:v>
      </x:c>
      <x:c r="C9" s="15" t="str"/>
      <x:c r="D9" s="15" t="str"/>
      <x:c r="E9" s="15" t="str"/>
      <x:c r="F9" s="15" t="str"/>
    </x:row>
    <x:row r="10">
      <x:c r="A10" s="15" t="str">
        <x:v>不能推出</x:v>
      </x:c>
      <x:c r="B10" s="15" t="str">
        <x:v>不能把本benchmark内部Adobe播放占比当作平台市场份额；它是“存在性+入口规模”证据，不是随机样本。</x:v>
      </x:c>
      <x:c r="C10" s="15" t="str"/>
      <x:c r="D10" s="15" t="str"/>
      <x:c r="E10" s="15" t="str"/>
      <x:c r="F10" s="15" t="str"/>
    </x:row>
    <x:row r="11">
      <x:c r="A11" s="15" t="str">
        <x:v>下一步</x:v>
      </x:c>
      <x:c r="B11" s="15" t="str">
        <x:v>若要估计专业层的教程渗透率，应再建立一个中性关键词固定样本（例如B站/YouTube各30条“视频剪辑/filmmaking editing”高播放结果），不在发现阶段加入软件名。</x:v>
      </x:c>
      <x:c r="C11" s="15" t="str"/>
      <x:c r="D11" s="15" t="str"/>
      <x:c r="E11" s="15" t="str"/>
      <x:c r="F11" s="15" t="str"/>
    </x:row>
    <x:row r="12">
      <x:c r="A12" s="15" t="str">
        <x:v>快照日期</x:v>
      </x:c>
      <x:c r="B12" s="15" t="str">
        <x:v>2026-08-16</x:v>
      </x:c>
      <x:c r="C12" s="15" t="str"/>
      <x:c r="D12" s="15" t="str"/>
      <x:c r="E12" s="15" t="str"/>
      <x:c r="F12" s="15" t="str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2" hidden="0" customWidth="1"/>
    <x:col min="5" max="5" width="50" hidden="0" customWidth="1"/>
    <x:col min="6" max="6" width="22" hidden="0" customWidth="1"/>
    <x:col min="7" max="7" width="20" hidden="0" customWidth="1"/>
    <x:col min="8" max="8" width="22" hidden="0" customWidth="1"/>
    <x:col min="9" max="9" width="13" hidden="0" customWidth="1"/>
    <x:col min="10" max="10" width="17" hidden="0" customWidth="1"/>
    <x:col min="11" max="11" width="12" hidden="0" customWidth="1"/>
    <x:col min="12" max="12" width="12" hidden="0" customWidth="1"/>
    <x:col min="13" max="13" width="16" hidden="0" customWidth="1"/>
    <x:col min="14" max="14" width="20" hidden="0" customWidth="1"/>
    <x:col min="15" max="15" width="21" hidden="0" customWidth="1"/>
    <x:col min="16" max="16" width="24" hidden="0" customWidth="1"/>
    <x:col min="17" max="17" width="34" hidden="0" customWidth="1"/>
    <x:col min="18" max="18" width="44" hidden="0" customWidth="1"/>
    <x:col min="19" max="19" width="44" hidden="0" customWidth="1"/>
    <x:col min="20" max="20" width="24" hidden="0" customWidth="1"/>
    <x:col min="21" max="21" width="18" hidden="0" customWidth="1"/>
    <x:col min="22" max="22" width="48" hidden="0" customWidth="1"/>
  </x:cols>
  <x:sheetData>
    <x:row r="1">
      <x:c r="A1" s="76" t="str">
        <x:v>Platform</x:v>
      </x:c>
      <x:c r="B1" s="76" t="str">
        <x:v>Rank_in_platform</x:v>
      </x:c>
      <x:c r="C1" s="76" t="str">
        <x:v>Observed_views</x:v>
      </x:c>
      <x:c r="D1" s="76" t="str">
        <x:v>Observed_display</x:v>
      </x:c>
      <x:c r="E1" s="76" t="str">
        <x:v>Tutorial_Title</x:v>
      </x:c>
      <x:c r="F1" s="76" t="str">
        <x:v>Primary_Editor</x:v>
      </x:c>
      <x:c r="G1" s="76" t="str">
        <x:v>Software_Family</x:v>
      </x:c>
      <x:c r="H1" s="76" t="str">
        <x:v>Tool_Tier</x:v>
      </x:c>
      <x:c r="I1" s="76" t="str">
        <x:v>Premiere_explicit</x:v>
      </x:c>
      <x:c r="J1" s="76" t="str">
        <x:v>AfterEffects_adjacent</x:v>
      </x:c>
      <x:c r="K1" s="76" t="str">
        <x:v>Adobe_NLE</x:v>
      </x:c>
      <x:c r="L1" s="76" t="str">
        <x:v>Adobe_Any</x:v>
      </x:c>
      <x:c r="M1" s="76" t="str">
        <x:v>ByteDance_Editor</x:v>
      </x:c>
      <x:c r="N1" s="76" t="str">
        <x:v>Platform_Native_Editor</x:v>
      </x:c>
      <x:c r="O1" s="76" t="str">
        <x:v>Resolved_Specific_Editor</x:v>
      </x:c>
      <x:c r="P1" s="76" t="str">
        <x:v>Adjacent_Tools</x:v>
      </x:c>
      <x:c r="Q1" s="76" t="str">
        <x:v>Neutral_Discovery_Query</x:v>
      </x:c>
      <x:c r="R1" s="76" t="str">
        <x:v>Tutorial_or_Search_URL</x:v>
      </x:c>
      <x:c r="S1" s="76" t="str">
        <x:v>Count_Evidence_URL</x:v>
      </x:c>
      <x:c r="T1" s="76" t="str">
        <x:v>Count_Evidence_Type</x:v>
      </x:c>
      <x:c r="U1" s="76" t="str">
        <x:v>Tool_Evidence_Quality</x:v>
      </x:c>
      <x:c r="V1" s="76" t="str">
        <x:v>Notes</x:v>
      </x:c>
    </x:row>
    <x:row r="2">
      <x:c r="A2" s="15" t="str">
        <x:v>Bilibili</x:v>
      </x:c>
      <x:c r="B2" s="15" t="n">
        <x:v>1</x:v>
      </x:c>
      <x:c r="C2" s="18" t="n">
        <x:v>41457000</x:v>
      </x:c>
      <x:c r="D2" s="15" t="str">
        <x:v>4145.7万</x:v>
      </x:c>
      <x:c r="E2" s="15" t="str">
        <x:v>pr教程从零基础开始学剪辑（新手入门实用版2025）</x:v>
      </x:c>
      <x:c r="F2" s="15" t="str">
        <x:v>Premiere Pro</x:v>
      </x:c>
      <x:c r="G2" s="15" t="str">
        <x:v>Adobe</x:v>
      </x:c>
      <x:c r="H2" s="15" t="str">
        <x:v>Professional/Desktop</x:v>
      </x:c>
      <x:c r="I2" s="15" t="n">
        <x:v>1</x:v>
      </x:c>
      <x:c r="J2" s="15" t="n">
        <x:v>0</x:v>
      </x:c>
      <x:c r="K2" s="15" t="n">
        <x:v>1</x:v>
      </x:c>
      <x:c r="L2" s="15" t="n">
        <x:v>1</x:v>
      </x:c>
      <x:c r="M2" s="15" t="n">
        <x:v>0</x:v>
      </x:c>
      <x:c r="N2" s="15" t="n">
        <x:v>0</x:v>
      </x:c>
      <x:c r="O2" s="15" t="n">
        <x:v>1</x:v>
      </x:c>
      <x:c r="P2" s="15" t="str"/>
      <x:c r="Q2" s="15" t="str">
        <x:v>视频剪辑教程 新手 入门 全流程</x:v>
      </x:c>
      <x:c r="R2" s="15" t="str">
        <x:v>https://www.bilibili.com/video/BV1Ya411C7fq/</x:v>
      </x:c>
      <x:c r="S2" s="15" t="str">
        <x:v>https://www.bilibili.com/video/BV1Vt411d7or/</x:v>
      </x:c>
      <x:c r="T2" s="15" t="str">
        <x:v>推荐/搜索卡片公开计数</x:v>
      </x:c>
      <x:c r="U2" s="15" t="str">
        <x:v>高</x:v>
      </x:c>
      <x:c r="V2" s="15" t="str">
        <x:v>公开索引显示该PR入门教程约4145.7万。</x:v>
      </x:c>
    </x:row>
    <x:row r="3">
      <x:c r="A3" s="15" t="str">
        <x:v>Bilibili</x:v>
      </x:c>
      <x:c r="B3" s="15" t="n">
        <x:v>2</x:v>
      </x:c>
      <x:c r="C3" s="18" t="n">
        <x:v>17499000</x:v>
      </x:c>
      <x:c r="D3" s="15" t="str">
        <x:v>1749.9万</x:v>
      </x:c>
      <x:c r="E3" s="15" t="str">
        <x:v>拜托三连了！这绝对是全B站最用心（没有之一）的PR公开课程，耗时千余小时开发！</x:v>
      </x:c>
      <x:c r="F3" s="15" t="str">
        <x:v>Premiere Pro</x:v>
      </x:c>
      <x:c r="G3" s="15" t="str">
        <x:v>Adobe</x:v>
      </x:c>
      <x:c r="H3" s="15" t="str">
        <x:v>Professional/Desktop</x:v>
      </x:c>
      <x:c r="I3" s="15" t="n">
        <x:v>1</x:v>
      </x:c>
      <x:c r="J3" s="15" t="n">
        <x:v>0</x:v>
      </x:c>
      <x:c r="K3" s="15" t="n">
        <x:v>1</x:v>
      </x:c>
      <x:c r="L3" s="15" t="n">
        <x:v>1</x:v>
      </x:c>
      <x:c r="M3" s="15" t="n">
        <x:v>0</x:v>
      </x:c>
      <x:c r="N3" s="15" t="n">
        <x:v>0</x:v>
      </x:c>
      <x:c r="O3" s="15" t="n">
        <x:v>1</x:v>
      </x:c>
      <x:c r="P3" s="15" t="str"/>
      <x:c r="Q3" s="15" t="str">
        <x:v>视频剪辑教程 新手 入门 全流程</x:v>
      </x:c>
      <x:c r="R3" s="15" t="str">
        <x:v>https://www.bilibili.com/video/BV1K64y1r7pp/</x:v>
      </x:c>
      <x:c r="S3" s="15" t="str">
        <x:v>https://www.bilibili.com/video/av619028897</x:v>
      </x:c>
      <x:c r="T3" s="15" t="str">
        <x:v>推荐卡片公开计数</x:v>
      </x:c>
      <x:c r="U3" s="15" t="str">
        <x:v>高</x:v>
      </x:c>
      <x:c r="V3" s="15" t="str">
        <x:v>GenJi PR公开课。</x:v>
      </x:c>
    </x:row>
    <x:row r="4">
      <x:c r="A4" s="15" t="str">
        <x:v>Bilibili</x:v>
      </x:c>
      <x:c r="B4" s="15" t="n">
        <x:v>3</x:v>
      </x:c>
      <x:c r="C4" s="18" t="n">
        <x:v>12904000</x:v>
      </x:c>
      <x:c r="D4" s="15" t="str">
        <x:v>1290.4万</x:v>
      </x:c>
      <x:c r="E4" s="15" t="str">
        <x:v>[Pr教程]0基础急速上手视频制作！UP主必备！</x:v>
      </x:c>
      <x:c r="F4" s="15" t="str">
        <x:v>Premiere Pro</x:v>
      </x:c>
      <x:c r="G4" s="15" t="str">
        <x:v>Adobe</x:v>
      </x:c>
      <x:c r="H4" s="15" t="str">
        <x:v>Professional/Desktop</x:v>
      </x:c>
      <x:c r="I4" s="15" t="n">
        <x:v>1</x:v>
      </x:c>
      <x:c r="J4" s="15" t="n">
        <x:v>0</x:v>
      </x:c>
      <x:c r="K4" s="15" t="n">
        <x:v>1</x:v>
      </x:c>
      <x:c r="L4" s="15" t="n">
        <x:v>1</x:v>
      </x:c>
      <x:c r="M4" s="15" t="n">
        <x:v>0</x:v>
      </x:c>
      <x:c r="N4" s="15" t="n">
        <x:v>0</x:v>
      </x:c>
      <x:c r="O4" s="15" t="n">
        <x:v>1</x:v>
      </x:c>
      <x:c r="P4" s="15" t="str"/>
      <x:c r="Q4" s="15" t="str">
        <x:v>视频剪辑教程 新手 入门 全流程</x:v>
      </x:c>
      <x:c r="R4" s="15" t="str">
        <x:v>https://www.bilibili.com/video/BV1Ts411C7Yd/</x:v>
      </x:c>
      <x:c r="S4" s="15" t="str">
        <x:v>https://search.bilibili.com/all?keyword=Pr%E6%96%B0%E6%89%8B%E5%AD%A6%E4%B9%A0%E7%AF%87</x:v>
      </x:c>
      <x:c r="T4" s="15" t="str">
        <x:v>B站搜索公开计数</x:v>
      </x:c>
      <x:c r="U4" s="15" t="str">
        <x:v>高</x:v>
      </x:c>
      <x:c r="V4" s="15" t="str">
        <x:v>搜索快照明确显示约1290.4万。</x:v>
      </x:c>
    </x:row>
    <x:row r="5">
      <x:c r="A5" s="15" t="str">
        <x:v>Bilibili</x:v>
      </x:c>
      <x:c r="B5" s="15" t="n">
        <x:v>4</x:v>
      </x:c>
      <x:c r="C5" s="18" t="n">
        <x:v>12806000</x:v>
      </x:c>
      <x:c r="D5" s="15" t="str">
        <x:v>1280.6万</x:v>
      </x:c>
      <x:c r="E5" s="15" t="str">
        <x:v>Pr教程全57集（零基础系统学习视频剪辑）</x:v>
      </x:c>
      <x:c r="F5" s="15" t="str">
        <x:v>Premiere Pro</x:v>
      </x:c>
      <x:c r="G5" s="15" t="str">
        <x:v>Adobe</x:v>
      </x:c>
      <x:c r="H5" s="15" t="str">
        <x:v>Professional/Desktop</x:v>
      </x:c>
      <x:c r="I5" s="15" t="n">
        <x:v>1</x:v>
      </x:c>
      <x:c r="J5" s="15" t="n">
        <x:v>0</x:v>
      </x:c>
      <x:c r="K5" s="15" t="n">
        <x:v>1</x:v>
      </x:c>
      <x:c r="L5" s="15" t="n">
        <x:v>1</x:v>
      </x:c>
      <x:c r="M5" s="15" t="n">
        <x:v>0</x:v>
      </x:c>
      <x:c r="N5" s="15" t="n">
        <x:v>0</x:v>
      </x:c>
      <x:c r="O5" s="15" t="n">
        <x:v>1</x:v>
      </x:c>
      <x:c r="P5" s="15" t="str"/>
      <x:c r="Q5" s="15" t="str">
        <x:v>视频剪辑教程 新手 入门 全流程</x:v>
      </x:c>
      <x:c r="R5" s="15" t="str">
        <x:v>https://search.bilibili.com/all?keyword=Pr%E6%95%99%E7%A8%8B%E5%85%A857%E9%9B%86</x:v>
      </x:c>
      <x:c r="S5" s="15" t="str">
        <x:v>https://www.bilibili.com/video/BV1Vt411d7or/</x:v>
      </x:c>
      <x:c r="T5" s="15" t="str">
        <x:v>推荐/搜索卡片公开计数</x:v>
      </x:c>
      <x:c r="U5" s="15" t="str">
        <x:v>中</x:v>
      </x:c>
      <x:c r="V5" s="15" t="str">
        <x:v>搜索/相关推荐卡片显示约1280.6万；以固定标题锁定样本。</x:v>
      </x:c>
    </x:row>
    <x:row r="6">
      <x:c r="A6" s="15" t="str">
        <x:v>Bilibili</x:v>
      </x:c>
      <x:c r="B6" s="15" t="n">
        <x:v>5</x:v>
      </x:c>
      <x:c r="C6" s="18" t="n">
        <x:v>12223000</x:v>
      </x:c>
      <x:c r="D6" s="15" t="str">
        <x:v>1222.3万</x:v>
      </x:c>
      <x:c r="E6" s="15" t="str">
        <x:v>PR教程+AE教程+C4D教程从零基础开始学视频剪辑（影视后期系统教学）</x:v>
      </x:c>
      <x:c r="F6" s="15" t="str">
        <x:v>Premiere Pro</x:v>
      </x:c>
      <x:c r="G6" s="15" t="str">
        <x:v>Adobe</x:v>
      </x:c>
      <x:c r="H6" s="15" t="str">
        <x:v>Professional/Desktop</x:v>
      </x:c>
      <x:c r="I6" s="15" t="n">
        <x:v>1</x:v>
      </x:c>
      <x:c r="J6" s="15" t="n">
        <x:v>1</x:v>
      </x:c>
      <x:c r="K6" s="15" t="n">
        <x:v>1</x:v>
      </x:c>
      <x:c r="L6" s="15" t="n">
        <x:v>1</x:v>
      </x:c>
      <x:c r="M6" s="15" t="n">
        <x:v>0</x:v>
      </x:c>
      <x:c r="N6" s="15" t="n">
        <x:v>0</x:v>
      </x:c>
      <x:c r="O6" s="15" t="n">
        <x:v>1</x:v>
      </x:c>
      <x:c r="P6" s="15" t="str">
        <x:v>AE；C4D</x:v>
      </x:c>
      <x:c r="Q6" s="15" t="str">
        <x:v>影视后期 系统教学 剪辑 教程</x:v>
      </x:c>
      <x:c r="R6" s="15" t="str">
        <x:v>https://search.bilibili.com/all?keyword=PR%E6%95%99%E7%A8%8B%20AE%E6%95%99%E7%A8%8B%20C4D%E6%95%99%E7%A8%8B%20%E8%A7%86%E9%A2%91%E5%89%AA%E8%BE%91</x:v>
      </x:c>
      <x:c r="S6" s="15" t="str">
        <x:v>https://search.bilibili.com/all?keyword=PR%E6%95%99%E7%A8%8B%20AE%E6%95%99%E7%A8%8B%20C4D%E6%95%99%E7%A8%8B</x:v>
      </x:c>
      <x:c r="T6" s="15" t="str">
        <x:v>搜索公开计数</x:v>
      </x:c>
      <x:c r="U6" s="15" t="str">
        <x:v>中</x:v>
      </x:c>
      <x:c r="V6" s="15" t="str">
        <x:v>主剪辑软件按标题中的PR编码；AE/C4D作为相邻后期工具。</x:v>
      </x:c>
    </x:row>
    <x:row r="7">
      <x:c r="A7" s="15" t="str">
        <x:v>Bilibili</x:v>
      </x:c>
      <x:c r="B7" s="15" t="n">
        <x:v>6</x:v>
      </x:c>
      <x:c r="C7" s="18" t="n">
        <x:v>8926000</x:v>
      </x:c>
      <x:c r="D7" s="15" t="str">
        <x:v>892.6万</x:v>
      </x:c>
      <x:c r="E7" s="15" t="str">
        <x:v>拜托三连了！这绝对是全B站最用心（没有之一）的AE公开课程，耗时千余小时开发！</x:v>
      </x:c>
      <x:c r="F7" s="15" t="str">
        <x:v>Adjacent-post</x:v>
      </x:c>
      <x:c r="G7" s="15" t="str">
        <x:v>Adobe</x:v>
      </x:c>
      <x:c r="H7" s="15" t="str">
        <x:v>Adjacent-post</x:v>
      </x:c>
      <x:c r="I7" s="15" t="n">
        <x:v>0</x:v>
      </x:c>
      <x:c r="J7" s="15" t="n">
        <x:v>1</x:v>
      </x:c>
      <x:c r="K7" s="15" t="n">
        <x:v>0</x:v>
      </x:c>
      <x:c r="L7" s="15" t="n">
        <x:v>1</x:v>
      </x:c>
      <x:c r="M7" s="15" t="n">
        <x:v>0</x:v>
      </x:c>
      <x:c r="N7" s="15" t="n">
        <x:v>0</x:v>
      </x:c>
      <x:c r="O7" s="15" t="n">
        <x:v>0</x:v>
      </x:c>
      <x:c r="P7" s="15" t="str">
        <x:v>After Effects</x:v>
      </x:c>
      <x:c r="Q7" s="15" t="str">
        <x:v>影视后期 系统教学 剪辑 教程</x:v>
      </x:c>
      <x:c r="R7" s="15" t="str">
        <x:v>https://www.bilibili.com/video/BV1ZA411g7Sb/</x:v>
      </x:c>
      <x:c r="S7" s="15" t="str">
        <x:v>https://www.bilibili.com/video/av619028897</x:v>
      </x:c>
      <x:c r="T7" s="15" t="str">
        <x:v>推荐卡片公开计数</x:v>
      </x:c>
      <x:c r="U7" s="15" t="str">
        <x:v>高</x:v>
      </x:c>
      <x:c r="V7" s="15" t="str">
        <x:v>AE是合成/VFX工具，不当作主NLE。</x:v>
      </x:c>
    </x:row>
    <x:row r="8">
      <x:c r="A8" s="15" t="str">
        <x:v>Bilibili</x:v>
      </x:c>
      <x:c r="B8" s="15" t="n">
        <x:v>7</x:v>
      </x:c>
      <x:c r="C8" s="18" t="n">
        <x:v>5161000</x:v>
      </x:c>
      <x:c r="D8" s="15" t="str">
        <x:v>516.1万</x:v>
      </x:c>
      <x:c r="E8" s="15" t="str">
        <x:v>自学剪映专业版全套教程，一口气教会你视频剪辑！</x:v>
      </x:c>
      <x:c r="F8" s="15" t="str">
        <x:v>剪映</x:v>
      </x:c>
      <x:c r="G8" s="15" t="str">
        <x:v>ByteDance</x:v>
      </x:c>
      <x:c r="H8" s="15" t="str">
        <x:v>Creator/Desktop</x:v>
      </x:c>
      <x:c r="I8" s="15" t="n">
        <x:v>0</x:v>
      </x:c>
      <x:c r="J8" s="15" t="n">
        <x:v>0</x:v>
      </x:c>
      <x:c r="K8" s="15" t="n">
        <x:v>0</x:v>
      </x:c>
      <x:c r="L8" s="15" t="n">
        <x:v>0</x:v>
      </x:c>
      <x:c r="M8" s="15" t="n">
        <x:v>1</x:v>
      </x:c>
      <x:c r="N8" s="15" t="n">
        <x:v>0</x:v>
      </x:c>
      <x:c r="O8" s="15" t="n">
        <x:v>1</x:v>
      </x:c>
      <x:c r="P8" s="15" t="str"/>
      <x:c r="Q8" s="15" t="str">
        <x:v>视频剪辑教程 新手 入门 全流程</x:v>
      </x:c>
      <x:c r="R8" s="15" t="str">
        <x:v>https://search.bilibili.com/all?keyword=%E8%87%AA%E5%AD%A6%E5%89%AA%E6%98%A0%E4%B8%93%E4%B8%9A%E7%89%88%E5%85%A8%E5%A5%97%E6%95%99%E7%A8%8B</x:v>
      </x:c>
      <x:c r="S8" s="15" t="str">
        <x:v>https://www.bilibili.com/video/BV13P411Q7MA/</x:v>
      </x:c>
      <x:c r="T8" s="15" t="str">
        <x:v>推荐/搜索卡片公开计数</x:v>
      </x:c>
      <x:c r="U8" s="15" t="str">
        <x:v>中</x:v>
      </x:c>
      <x:c r="V8" s="15" t="str">
        <x:v>中性剪辑搜索中出现的高播放剪映专业版教程。</x:v>
      </x:c>
    </x:row>
    <x:row r="9">
      <x:c r="A9" s="15" t="str">
        <x:v>Bilibili</x:v>
      </x:c>
      <x:c r="B9" s="15" t="n">
        <x:v>8</x:v>
      </x:c>
      <x:c r="C9" s="18" t="n">
        <x:v>4443000</x:v>
      </x:c>
      <x:c r="D9" s="15" t="str">
        <x:v>444.3万</x:v>
      </x:c>
      <x:c r="E9" s="15" t="str">
        <x:v>2025年，到底用什么剪辑软件？</x:v>
      </x:c>
      <x:c r="F9" s="15" t="str">
        <x:v>Multi-tool</x:v>
      </x:c>
      <x:c r="G9" s="15" t="str">
        <x:v>Multi</x:v>
      </x:c>
      <x:c r="H9" s="15" t="str">
        <x:v>Multi-tool</x:v>
      </x:c>
      <x:c r="I9" s="15" t="n">
        <x:v>0</x:v>
      </x:c>
      <x:c r="J9" s="15" t="n">
        <x:v>0</x:v>
      </x:c>
      <x:c r="K9" s="15" t="n">
        <x:v>0</x:v>
      </x:c>
      <x:c r="L9" s="15" t="n">
        <x:v>0</x:v>
      </x:c>
      <x:c r="M9" s="15" t="n">
        <x:v>0</x:v>
      </x:c>
      <x:c r="N9" s="15" t="n">
        <x:v>0</x:v>
      </x:c>
      <x:c r="O9" s="15" t="n">
        <x:v>0</x:v>
      </x:c>
      <x:c r="P9" s="15" t="str">
        <x:v>Premiere；DaVinci；Final Cut等</x:v>
      </x:c>
      <x:c r="Q9" s="15" t="str">
        <x:v>视频剪辑教程 新手 入门 全流程</x:v>
      </x:c>
      <x:c r="R9" s="15" t="str">
        <x:v>https://www.bilibili.com/video/BV1ftGuzME9Y/</x:v>
      </x:c>
      <x:c r="S9" s="15" t="str">
        <x:v>https://www.bilibili.com/video/BV1ftGuzME9Y/</x:v>
      </x:c>
      <x:c r="T9" s="15" t="str">
        <x:v>公开索引/相关推荐计数</x:v>
      </x:c>
      <x:c r="U9" s="15" t="str">
        <x:v>高</x:v>
      </x:c>
      <x:c r="V9" s="15" t="str">
        <x:v>比较型教程，不把任何单一软件编码为Primary_Editor。</x:v>
      </x:c>
    </x:row>
    <x:row r="10">
      <x:c r="A10" s="15" t="str">
        <x:v>Bilibili</x:v>
      </x:c>
      <x:c r="B10" s="15" t="n">
        <x:v>9</x:v>
      </x:c>
      <x:c r="C10" s="18" t="n">
        <x:v>2972000</x:v>
      </x:c>
      <x:c r="D10" s="15" t="str">
        <x:v>297.2万</x:v>
      </x:c>
      <x:c r="E10" s="15" t="str">
        <x:v>【干货】一小时上手达芬奇剪辑！第二集：剪辑</x:v>
      </x:c>
      <x:c r="F10" s="15" t="str">
        <x:v>DaVinci Resolve</x:v>
      </x:c>
      <x:c r="G10" s="15" t="str">
        <x:v>Blackmagic Design</x:v>
      </x:c>
      <x:c r="H10" s="15" t="str">
        <x:v>Professional/Desktop</x:v>
      </x:c>
      <x:c r="I10" s="15" t="n">
        <x:v>0</x:v>
      </x:c>
      <x:c r="J10" s="15" t="n">
        <x:v>0</x:v>
      </x:c>
      <x:c r="K10" s="15" t="n">
        <x:v>0</x:v>
      </x:c>
      <x:c r="L10" s="15" t="n">
        <x:v>0</x:v>
      </x:c>
      <x:c r="M10" s="15" t="n">
        <x:v>0</x:v>
      </x:c>
      <x:c r="N10" s="15" t="n">
        <x:v>0</x:v>
      </x:c>
      <x:c r="O10" s="15" t="n">
        <x:v>1</x:v>
      </x:c>
      <x:c r="P10" s="15" t="str"/>
      <x:c r="Q10" s="15" t="str">
        <x:v>影视后期 系统教学 剪辑 教程</x:v>
      </x:c>
      <x:c r="R10" s="15" t="str">
        <x:v>https://www.bilibili.com/video/BV1B7411A7M1/</x:v>
      </x:c>
      <x:c r="S10" s="15" t="str">
        <x:v>https://www.bilibili.com/video/BV1B7411A7M1/</x:v>
      </x:c>
      <x:c r="T10" s="15" t="str">
        <x:v>相关推荐公开计数</x:v>
      </x:c>
      <x:c r="U10" s="15" t="str">
        <x:v>高</x:v>
      </x:c>
      <x:c r="V10" s="15" t="str">
        <x:v>影视飓风系列；相关推荐明确显示第二集约297.2万。</x:v>
      </x:c>
    </x:row>
    <x:row r="11">
      <x:c r="A11" s="15" t="str">
        <x:v>Bilibili</x:v>
      </x:c>
      <x:c r="B11" s="15" t="n">
        <x:v>10</x:v>
      </x:c>
      <x:c r="C11" s="18" t="n">
        <x:v>2617000</x:v>
      </x:c>
      <x:c r="D11" s="15" t="str">
        <x:v>261.7万</x:v>
      </x:c>
      <x:c r="E11" s="15" t="str">
        <x:v>拜托三连了！移动端剪辑公开课程（必剪）</x:v>
      </x:c>
      <x:c r="F11" s="15" t="str">
        <x:v>必剪</x:v>
      </x:c>
      <x:c r="G11" s="15" t="str">
        <x:v>Bilibili</x:v>
      </x:c>
      <x:c r="H11" s="15" t="str">
        <x:v>Creator/Desktop</x:v>
      </x:c>
      <x:c r="I11" s="15" t="n">
        <x:v>0</x:v>
      </x:c>
      <x:c r="J11" s="15" t="n">
        <x:v>0</x:v>
      </x:c>
      <x:c r="K11" s="15" t="n">
        <x:v>0</x:v>
      </x:c>
      <x:c r="L11" s="15" t="n">
        <x:v>0</x:v>
      </x:c>
      <x:c r="M11" s="15" t="n">
        <x:v>0</x:v>
      </x:c>
      <x:c r="N11" s="15" t="n">
        <x:v>1</x:v>
      </x:c>
      <x:c r="O11" s="15" t="n">
        <x:v>1</x:v>
      </x:c>
      <x:c r="P11" s="15" t="str"/>
      <x:c r="Q11" s="15" t="str">
        <x:v>视频剪辑教程 新手 入门 全流程</x:v>
      </x:c>
      <x:c r="R11" s="15" t="str">
        <x:v>https://search.bilibili.com/all?keyword=%E5%BF%85%E5%89%AA%20%E7%A7%BB%E5%8A%A8%E7%AB%AF%20%E5%89%AA%E8%BE%91%E5%85%AC%E5%BC%80%E8%AF%BE</x:v>
      </x:c>
      <x:c r="S11" s="15" t="str">
        <x:v>https://www.bilibili.com/video/av619028897</x:v>
      </x:c>
      <x:c r="T11" s="15" t="str">
        <x:v>推荐卡片公开计数</x:v>
      </x:c>
      <x:c r="U11" s="15" t="str">
        <x:v>中</x:v>
      </x:c>
      <x:c r="V11" s="15" t="str">
        <x:v>GenJi课程推荐卡片快照约261.7万。</x:v>
      </x:c>
    </x:row>
    <x:row r="12">
      <x:c r="A12" s="15" t="str">
        <x:v>Bilibili</x:v>
      </x:c>
      <x:c r="B12" s="15" t="n">
        <x:v>11</x:v>
      </x:c>
      <x:c r="C12" s="18" t="n">
        <x:v>2268000</x:v>
      </x:c>
      <x:c r="D12" s="15" t="str">
        <x:v>226.8万</x:v>
      </x:c>
      <x:c r="E12" s="15" t="str">
        <x:v>中国传媒大学《视听语言》</x:v>
      </x:c>
      <x:c r="F12" s="15" t="str">
        <x:v>Software-agnostic</x:v>
      </x:c>
      <x:c r="G12" s="15" t="str">
        <x:v>None</x:v>
      </x:c>
      <x:c r="H12" s="15" t="str">
        <x:v>Software-agnostic</x:v>
      </x:c>
      <x:c r="I12" s="15" t="n">
        <x:v>0</x:v>
      </x:c>
      <x:c r="J12" s="15" t="n">
        <x:v>0</x:v>
      </x:c>
      <x:c r="K12" s="15" t="n">
        <x:v>0</x:v>
      </x:c>
      <x:c r="L12" s="15" t="n">
        <x:v>0</x:v>
      </x:c>
      <x:c r="M12" s="15" t="n">
        <x:v>0</x:v>
      </x:c>
      <x:c r="N12" s="15" t="n">
        <x:v>0</x:v>
      </x:c>
      <x:c r="O12" s="15" t="n">
        <x:v>0</x:v>
      </x:c>
      <x:c r="P12" s="15" t="str">
        <x:v>剪辑理论；镜头语言</x:v>
      </x:c>
      <x:c r="Q12" s="15" t="str">
        <x:v>影视后期 系统教学 剪辑 教程</x:v>
      </x:c>
      <x:c r="R12" s="15" t="str">
        <x:v>https://search.bilibili.com/all?keyword=%E4%B8%AD%E5%9B%BD%E4%BC%A0%E5%AA%92%E5%A4%A7%E5%AD%A6%20%E8%A7%86%E5%90%AC%E8%AF%AD%E8%A8%80</x:v>
      </x:c>
      <x:c r="S12" s="15" t="str">
        <x:v>https://search.bilibili.com/all?keyword=%E4%B8%AD%E5%9B%BD%E4%BC%A0%E5%AA%92%E5%A4%A7%E5%AD%A6%20%E8%A7%86%E5%90%AC%E8%AF%AD%E8%A8%80</x:v>
      </x:c>
      <x:c r="T12" s="15" t="str">
        <x:v>搜索/推荐公开计数</x:v>
      </x:c>
      <x:c r="U12" s="15" t="str">
        <x:v>中</x:v>
      </x:c>
      <x:c r="V12" s="15" t="str">
        <x:v>理论型教程，避免把专业学习生态误等同于软件课。</x:v>
      </x:c>
    </x:row>
    <x:row r="13">
      <x:c r="A13" s="15" t="str">
        <x:v>Bilibili</x:v>
      </x:c>
      <x:c r="B13" s="15" t="n">
        <x:v>12</x:v>
      </x:c>
      <x:c r="C13" s="18" t="n">
        <x:v>2261000</x:v>
      </x:c>
      <x:c r="D13" s="15" t="str">
        <x:v>226.1万</x:v>
      </x:c>
      <x:c r="E13" s="15" t="str">
        <x:v>神速学会视频剪辑，up主必备Premiere技能</x:v>
      </x:c>
      <x:c r="F13" s="15" t="str">
        <x:v>Premiere Pro</x:v>
      </x:c>
      <x:c r="G13" s="15" t="str">
        <x:v>Adobe</x:v>
      </x:c>
      <x:c r="H13" s="15" t="str">
        <x:v>Professional/Desktop</x:v>
      </x:c>
      <x:c r="I13" s="15" t="n">
        <x:v>1</x:v>
      </x:c>
      <x:c r="J13" s="15" t="n">
        <x:v>0</x:v>
      </x:c>
      <x:c r="K13" s="15" t="n">
        <x:v>1</x:v>
      </x:c>
      <x:c r="L13" s="15" t="n">
        <x:v>1</x:v>
      </x:c>
      <x:c r="M13" s="15" t="n">
        <x:v>0</x:v>
      </x:c>
      <x:c r="N13" s="15" t="n">
        <x:v>0</x:v>
      </x:c>
      <x:c r="O13" s="15" t="n">
        <x:v>1</x:v>
      </x:c>
      <x:c r="P13" s="15" t="str"/>
      <x:c r="Q13" s="15" t="str">
        <x:v>视频剪辑教程 新手 入门 全流程</x:v>
      </x:c>
      <x:c r="R13" s="15" t="str">
        <x:v>https://search.bilibili.com/all?keyword=%E7%A5%9E%E9%80%9F%E5%AD%A6%E4%BC%9A%E8%A7%86%E9%A2%91%E5%89%AA%E8%BE%91%20up%E4%B8%BB%E5%BF%85%E5%A4%87Premiere%E6%8A%80%E8%83%BD</x:v>
      </x:c>
      <x:c r="S13" s="15" t="str">
        <x:v>https://search.bilibili.com/all?keyword=%E7%A5%9E%E9%80%9F%E5%AD%A6%E4%BC%9A%E8%A7%86%E9%A2%91%E5%89%AA%E8%BE%91</x:v>
      </x:c>
      <x:c r="T13" s="15" t="str">
        <x:v>搜索公开计数</x:v>
      </x:c>
      <x:c r="U13" s="15" t="str">
        <x:v>中</x:v>
      </x:c>
      <x:c r="V13" s="15" t="str">
        <x:v>中性剪辑入口中发现的Premiere教程。</x:v>
      </x:c>
    </x:row>
    <x:row r="14">
      <x:c r="A14" s="15" t="str">
        <x:v>Bilibili</x:v>
      </x:c>
      <x:c r="B14" s="15" t="n">
        <x:v>13</x:v>
      </x:c>
      <x:c r="C14" s="18" t="n">
        <x:v>2257000</x:v>
      </x:c>
      <x:c r="D14" s="15" t="str">
        <x:v>225.7万</x:v>
      </x:c>
      <x:c r="E14" s="15" t="str">
        <x:v>拜托三连了！这绝对是全B站最用心（没有之一）的剪辑公开课程，轻松成为Up主由此开启！</x:v>
      </x:c>
      <x:c r="F14" s="15" t="str">
        <x:v>必剪</x:v>
      </x:c>
      <x:c r="G14" s="15" t="str">
        <x:v>Bilibili</x:v>
      </x:c>
      <x:c r="H14" s="15" t="str">
        <x:v>Creator/Desktop</x:v>
      </x:c>
      <x:c r="I14" s="15" t="n">
        <x:v>0</x:v>
      </x:c>
      <x:c r="J14" s="15" t="n">
        <x:v>0</x:v>
      </x:c>
      <x:c r="K14" s="15" t="n">
        <x:v>0</x:v>
      </x:c>
      <x:c r="L14" s="15" t="n">
        <x:v>0</x:v>
      </x:c>
      <x:c r="M14" s="15" t="n">
        <x:v>0</x:v>
      </x:c>
      <x:c r="N14" s="15" t="n">
        <x:v>1</x:v>
      </x:c>
      <x:c r="O14" s="15" t="n">
        <x:v>1</x:v>
      </x:c>
      <x:c r="P14" s="15" t="str"/>
      <x:c r="Q14" s="15" t="str">
        <x:v>视频剪辑教程 新手 入门 全流程</x:v>
      </x:c>
      <x:c r="R14" s="15" t="str">
        <x:v>https://www.bilibili.com/video/BV1hb4y1q7eE/</x:v>
      </x:c>
      <x:c r="S14" s="15" t="str">
        <x:v>https://www.bilibili.com/video/BV1hb4y1q7eE?p=2</x:v>
      </x:c>
      <x:c r="T14" s="15" t="str">
        <x:v>合集/章节公开计数</x:v>
      </x:c>
      <x:c r="U14" s="15" t="str">
        <x:v>高</x:v>
      </x:c>
      <x:c r="V14" s="15" t="str">
        <x:v>章节明确“用必剪制作一个视频的基本工作流程”。</x:v>
      </x:c>
    </x:row>
    <x:row r="15">
      <x:c r="A15" s="15" t="str">
        <x:v>Bilibili</x:v>
      </x:c>
      <x:c r="B15" s="15" t="n">
        <x:v>14</x:v>
      </x:c>
      <x:c r="C15" s="18" t="n">
        <x:v>1934000</x:v>
      </x:c>
      <x:c r="D15" s="15" t="str">
        <x:v>193.4万</x:v>
      </x:c>
      <x:c r="E15" s="15" t="str">
        <x:v>知识 | 万能剪辑心法！学会剪辑的六大法则</x:v>
      </x:c>
      <x:c r="F15" s="15" t="str">
        <x:v>Software-agnostic</x:v>
      </x:c>
      <x:c r="G15" s="15" t="str">
        <x:v>None</x:v>
      </x:c>
      <x:c r="H15" s="15" t="str">
        <x:v>Software-agnostic</x:v>
      </x:c>
      <x:c r="I15" s="15" t="n">
        <x:v>0</x:v>
      </x:c>
      <x:c r="J15" s="15" t="n">
        <x:v>0</x:v>
      </x:c>
      <x:c r="K15" s="15" t="n">
        <x:v>0</x:v>
      </x:c>
      <x:c r="L15" s="15" t="n">
        <x:v>0</x:v>
      </x:c>
      <x:c r="M15" s="15" t="n">
        <x:v>0</x:v>
      </x:c>
      <x:c r="N15" s="15" t="n">
        <x:v>0</x:v>
      </x:c>
      <x:c r="O15" s="15" t="n">
        <x:v>0</x:v>
      </x:c>
      <x:c r="P15" s="15" t="str">
        <x:v>剪辑思维</x:v>
      </x:c>
      <x:c r="Q15" s="15" t="str">
        <x:v>剪辑理论 教程</x:v>
      </x:c>
      <x:c r="R15" s="15" t="str">
        <x:v>https://search.bilibili.com/all?keyword=%E4%B8%87%E8%83%BD%E5%89%AA%E8%BE%91%E5%BF%83%E6%B3%95%20%E5%85%AD%E5%A4%A7%E6%B3%95%E5%88%99</x:v>
      </x:c>
      <x:c r="S15" s="15" t="str">
        <x:v>https://search.bilibili.com/all?keyword=%E5%89%AA%E8%BE%91%E6%80%9D%E7%BB%B4</x:v>
      </x:c>
      <x:c r="T15" s="15" t="str">
        <x:v>搜索/推荐公开计数</x:v>
      </x:c>
      <x:c r="U15" s="15" t="str">
        <x:v>中</x:v>
      </x:c>
      <x:c r="V15" s="15" t="str">
        <x:v>软件无关的剪辑思维入口。</x:v>
      </x:c>
    </x:row>
    <x:row r="16">
      <x:c r="A16" s="15" t="str">
        <x:v>Bilibili</x:v>
      </x:c>
      <x:c r="B16" s="15" t="n">
        <x:v>15</x:v>
      </x:c>
      <x:c r="C16" s="18" t="n">
        <x:v>1704000</x:v>
      </x:c>
      <x:c r="D16" s="15" t="str">
        <x:v>170.4万</x:v>
      </x:c>
      <x:c r="E16" s="15" t="str">
        <x:v>绝对是b站最高质量的达芬奇教程！让你少走弯路！不看后悔，务必要收藏！！！</x:v>
      </x:c>
      <x:c r="F16" s="15" t="str">
        <x:v>DaVinci Resolve</x:v>
      </x:c>
      <x:c r="G16" s="15" t="str">
        <x:v>Blackmagic Design</x:v>
      </x:c>
      <x:c r="H16" s="15" t="str">
        <x:v>Professional/Desktop</x:v>
      </x:c>
      <x:c r="I16" s="15" t="n">
        <x:v>0</x:v>
      </x:c>
      <x:c r="J16" s="15" t="n">
        <x:v>0</x:v>
      </x:c>
      <x:c r="K16" s="15" t="n">
        <x:v>0</x:v>
      </x:c>
      <x:c r="L16" s="15" t="n">
        <x:v>0</x:v>
      </x:c>
      <x:c r="M16" s="15" t="n">
        <x:v>0</x:v>
      </x:c>
      <x:c r="N16" s="15" t="n">
        <x:v>0</x:v>
      </x:c>
      <x:c r="O16" s="15" t="n">
        <x:v>1</x:v>
      </x:c>
      <x:c r="P16" s="15" t="str"/>
      <x:c r="Q16" s="15" t="str">
        <x:v>影视后期 系统教学 剪辑 教程</x:v>
      </x:c>
      <x:c r="R16" s="15" t="str">
        <x:v>https://search.bilibili.com/all?keyword=%E6%9C%80%E9%AB%98%E8%B4%A8%E9%87%8F%E7%9A%84%E8%BE%BE%E8%8A%AC%E5%A5%87%E6%95%99%E7%A8%8B</x:v>
      </x:c>
      <x:c r="S16" s="15" t="str">
        <x:v>https://www.bilibili.com/video/BV1uKn6zPE2B/</x:v>
      </x:c>
      <x:c r="T16" s="15" t="str">
        <x:v>相关推荐公开计数</x:v>
      </x:c>
      <x:c r="U16" s="15" t="str">
        <x:v>高</x:v>
      </x:c>
      <x:c r="V16" s="15" t="str">
        <x:v>相关推荐明确显示约170.4万。</x:v>
      </x:c>
    </x:row>
    <x:row r="17">
      <x:c r="A17" s="15" t="str">
        <x:v>Bilibili</x:v>
      </x:c>
      <x:c r="B17" s="15" t="n">
        <x:v>16</x:v>
      </x:c>
      <x:c r="C17" s="18" t="n">
        <x:v>1315000</x:v>
      </x:c>
      <x:c r="D17" s="15" t="str">
        <x:v>131.5万</x:v>
      </x:c>
      <x:c r="E17" s="15" t="str">
        <x:v>PR全网最详细教程，免费学到你会</x:v>
      </x:c>
      <x:c r="F17" s="15" t="str">
        <x:v>Premiere Pro</x:v>
      </x:c>
      <x:c r="G17" s="15" t="str">
        <x:v>Adobe</x:v>
      </x:c>
      <x:c r="H17" s="15" t="str">
        <x:v>Professional/Desktop</x:v>
      </x:c>
      <x:c r="I17" s="15" t="n">
        <x:v>1</x:v>
      </x:c>
      <x:c r="J17" s="15" t="n">
        <x:v>0</x:v>
      </x:c>
      <x:c r="K17" s="15" t="n">
        <x:v>1</x:v>
      </x:c>
      <x:c r="L17" s="15" t="n">
        <x:v>1</x:v>
      </x:c>
      <x:c r="M17" s="15" t="n">
        <x:v>0</x:v>
      </x:c>
      <x:c r="N17" s="15" t="n">
        <x:v>0</x:v>
      </x:c>
      <x:c r="O17" s="15" t="n">
        <x:v>1</x:v>
      </x:c>
      <x:c r="P17" s="15" t="str"/>
      <x:c r="Q17" s="15" t="str">
        <x:v>视频剪辑教程 新手 入门 全流程</x:v>
      </x:c>
      <x:c r="R17" s="15" t="str">
        <x:v>https://search.bilibili.com/all?keyword=PR%E5%85%A8%E7%BD%91%E6%9C%80%E8%AF%A6%E7%BB%86%E6%95%99%E7%A8%8B%20%E5%85%8D%E8%B4%B9%E5%AD%A6%E5%88%B0%E4%BD%A0%E4%BC%9A</x:v>
      </x:c>
      <x:c r="S17" s="15" t="str">
        <x:v>https://search.bilibili.com/all?keyword=PR%E5%85%A8%E7%BD%91%E6%9C%80%E8%AF%A6%E7%BB%86%E6%95%99%E7%A8%8B</x:v>
      </x:c>
      <x:c r="T17" s="15" t="str">
        <x:v>搜索公开计数</x:v>
      </x:c>
      <x:c r="U17" s="15" t="str">
        <x:v>中</x:v>
      </x:c>
      <x:c r="V17" s="15" t="str">
        <x:v>中性剪辑搜索结果中的Premiere完整课。</x:v>
      </x:c>
    </x:row>
    <x:row r="18">
      <x:c r="A18" s="15" t="str">
        <x:v>Bilibili</x:v>
      </x:c>
      <x:c r="B18" s="15" t="n">
        <x:v>17</x:v>
      </x:c>
      <x:c r="C18" s="18" t="n">
        <x:v>1085000</x:v>
      </x:c>
      <x:c r="D18" s="15" t="str">
        <x:v>108.5万</x:v>
      </x:c>
      <x:c r="E18" s="15" t="str">
        <x:v>剪映教程1000集：剪映手机版教学，零基础入门学视频剪辑</x:v>
      </x:c>
      <x:c r="F18" s="15" t="str">
        <x:v>剪映</x:v>
      </x:c>
      <x:c r="G18" s="15" t="str">
        <x:v>ByteDance</x:v>
      </x:c>
      <x:c r="H18" s="15" t="str">
        <x:v>Creator/Desktop</x:v>
      </x:c>
      <x:c r="I18" s="15" t="n">
        <x:v>0</x:v>
      </x:c>
      <x:c r="J18" s="15" t="n">
        <x:v>0</x:v>
      </x:c>
      <x:c r="K18" s="15" t="n">
        <x:v>0</x:v>
      </x:c>
      <x:c r="L18" s="15" t="n">
        <x:v>0</x:v>
      </x:c>
      <x:c r="M18" s="15" t="n">
        <x:v>1</x:v>
      </x:c>
      <x:c r="N18" s="15" t="n">
        <x:v>0</x:v>
      </x:c>
      <x:c r="O18" s="15" t="n">
        <x:v>1</x:v>
      </x:c>
      <x:c r="P18" s="15" t="str"/>
      <x:c r="Q18" s="15" t="str">
        <x:v>视频剪辑教程 新手 入门 全流程</x:v>
      </x:c>
      <x:c r="R18" s="15" t="str">
        <x:v>https://search.bilibili.com/all?keyword=%E5%89%AA%E6%98%A0%E6%95%99%E7%A8%8B1000%E9%9B%86</x:v>
      </x:c>
      <x:c r="S18" s="15" t="str">
        <x:v>https://www.bilibili.com/video/BV1Qz4y1m7WA/</x:v>
      </x:c>
      <x:c r="T18" s="15" t="str">
        <x:v>相关推荐公开计数</x:v>
      </x:c>
      <x:c r="U18" s="15" t="str">
        <x:v>高</x:v>
      </x:c>
      <x:c r="V18" s="15" t="str">
        <x:v>多个中性剪辑页面相关推荐均显示约108.5万。</x:v>
      </x:c>
    </x:row>
    <x:row r="19">
      <x:c r="A19" s="15" t="str">
        <x:v>Bilibili</x:v>
      </x:c>
      <x:c r="B19" s="15" t="n">
        <x:v>18</x:v>
      </x:c>
      <x:c r="C19" s="18" t="n">
        <x:v>755000</x:v>
      </x:c>
      <x:c r="D19" s="15" t="str">
        <x:v>75.5万</x:v>
      </x:c>
      <x:c r="E19" s="15" t="str">
        <x:v>拜托三连了！这绝对是全B站最用心（没有之一）的C4D公开课程，耗时千余小时开发！</x:v>
      </x:c>
      <x:c r="F19" s="15" t="str">
        <x:v>Adjacent-post</x:v>
      </x:c>
      <x:c r="G19" s="15" t="str">
        <x:v>Maxon</x:v>
      </x:c>
      <x:c r="H19" s="15" t="str">
        <x:v>Adjacent-post</x:v>
      </x:c>
      <x:c r="I19" s="15" t="n">
        <x:v>0</x:v>
      </x:c>
      <x:c r="J19" s="15" t="n">
        <x:v>0</x:v>
      </x:c>
      <x:c r="K19" s="15" t="n">
        <x:v>0</x:v>
      </x:c>
      <x:c r="L19" s="15" t="n">
        <x:v>0</x:v>
      </x:c>
      <x:c r="M19" s="15" t="n">
        <x:v>0</x:v>
      </x:c>
      <x:c r="N19" s="15" t="n">
        <x:v>0</x:v>
      </x:c>
      <x:c r="O19" s="15" t="n">
        <x:v>0</x:v>
      </x:c>
      <x:c r="P19" s="15" t="str">
        <x:v>Cinema 4D</x:v>
      </x:c>
      <x:c r="Q19" s="15" t="str">
        <x:v>影视后期 系统教学 剪辑 教程</x:v>
      </x:c>
      <x:c r="R19" s="15" t="str">
        <x:v>https://www.bilibili.com/video/BV1yg411L7EF/</x:v>
      </x:c>
      <x:c r="S19" s="15" t="str">
        <x:v>https://www.bilibili.com/list/ml449562464</x:v>
      </x:c>
      <x:c r="T19" s="15" t="str">
        <x:v>合集/推荐公开计数</x:v>
      </x:c>
      <x:c r="U19" s="15" t="str">
        <x:v>中</x:v>
      </x:c>
      <x:c r="V19" s="15" t="str">
        <x:v>C4D作为3D/Motion相邻后期工具，不当作NLE。</x:v>
      </x:c>
    </x:row>
    <x:row r="20">
      <x:c r="A20" s="15" t="str">
        <x:v>Bilibili</x:v>
      </x:c>
      <x:c r="B20" s="15" t="n">
        <x:v>19</x:v>
      </x:c>
      <x:c r="C20" s="18" t="n">
        <x:v>754000</x:v>
      </x:c>
      <x:c r="D20" s="15" t="str">
        <x:v>75.4万</x:v>
      </x:c>
      <x:c r="E20" s="15" t="str">
        <x:v>一站式科普！告诉你剪辑软件哪家强！</x:v>
      </x:c>
      <x:c r="F20" s="15" t="str">
        <x:v>Multi-tool</x:v>
      </x:c>
      <x:c r="G20" s="15" t="str">
        <x:v>Multi</x:v>
      </x:c>
      <x:c r="H20" s="15" t="str">
        <x:v>Multi-tool</x:v>
      </x:c>
      <x:c r="I20" s="15" t="n">
        <x:v>0</x:v>
      </x:c>
      <x:c r="J20" s="15" t="n">
        <x:v>0</x:v>
      </x:c>
      <x:c r="K20" s="15" t="n">
        <x:v>0</x:v>
      </x:c>
      <x:c r="L20" s="15" t="n">
        <x:v>0</x:v>
      </x:c>
      <x:c r="M20" s="15" t="n">
        <x:v>0</x:v>
      </x:c>
      <x:c r="N20" s="15" t="n">
        <x:v>0</x:v>
      </x:c>
      <x:c r="O20" s="15" t="n">
        <x:v>0</x:v>
      </x:c>
      <x:c r="P20" s="15" t="str">
        <x:v>Premiere；DaVinci；Final Cut等</x:v>
      </x:c>
      <x:c r="Q20" s="15" t="str">
        <x:v>视频剪辑教程 新手 入门 全流程</x:v>
      </x:c>
      <x:c r="R20" s="15" t="str">
        <x:v>https://search.bilibili.com/all?keyword=%E4%B8%80%E7%AB%99%E5%BC%8F%E7%A7%91%E6%99%AE%20%E5%89%AA%E8%BE%91%E8%BD%AF%E4%BB%B6%E5%93%AA%E5%AE%B6%E5%BC%BA</x:v>
      </x:c>
      <x:c r="S20" s="15" t="str">
        <x:v>https://search.bilibili.com/all?keyword=%E5%89%AA%E8%BE%91%E8%BD%AF%E4%BB%B6%E5%93%AA%E5%AE%B6%E5%BC%BA</x:v>
      </x:c>
      <x:c r="T20" s="15" t="str">
        <x:v>v2同日快照</x:v>
      </x:c>
      <x:c r="U20" s="15" t="str">
        <x:v>中</x:v>
      </x:c>
      <x:c r="V20" s="15" t="str">
        <x:v>保留v2同日观察值，比较型教程。</x:v>
      </x:c>
    </x:row>
    <x:row r="21">
      <x:c r="A21" s="15" t="str">
        <x:v>Bilibili</x:v>
      </x:c>
      <x:c r="B21" s="15" t="n">
        <x:v>20</x:v>
      </x:c>
      <x:c r="C21" s="18" t="n">
        <x:v>745000</x:v>
      </x:c>
      <x:c r="D21" s="15" t="str">
        <x:v>74.5万</x:v>
      </x:c>
      <x:c r="E21" s="15" t="str">
        <x:v>GenJi Final Cut Pro X 系统教程</x:v>
      </x:c>
      <x:c r="F21" s="15" t="str">
        <x:v>Final Cut Pro</x:v>
      </x:c>
      <x:c r="G21" s="15" t="str">
        <x:v>Apple</x:v>
      </x:c>
      <x:c r="H21" s="15" t="str">
        <x:v>Professional/Desktop</x:v>
      </x:c>
      <x:c r="I21" s="15" t="n">
        <x:v>0</x:v>
      </x:c>
      <x:c r="J21" s="15" t="n">
        <x:v>0</x:v>
      </x:c>
      <x:c r="K21" s="15" t="n">
        <x:v>0</x:v>
      </x:c>
      <x:c r="L21" s="15" t="n">
        <x:v>0</x:v>
      </x:c>
      <x:c r="M21" s="15" t="n">
        <x:v>0</x:v>
      </x:c>
      <x:c r="N21" s="15" t="n">
        <x:v>0</x:v>
      </x:c>
      <x:c r="O21" s="15" t="n">
        <x:v>1</x:v>
      </x:c>
      <x:c r="P21" s="15" t="str"/>
      <x:c r="Q21" s="15" t="str">
        <x:v>视频剪辑教程 新手 入门 全流程</x:v>
      </x:c>
      <x:c r="R21" s="15" t="str">
        <x:v>https://search.bilibili.com/all?keyword=GenJi%20Final%20Cut%20Pro%20X%20%E6%95%99%E7%A8%8B</x:v>
      </x:c>
      <x:c r="S21" s="15" t="str">
        <x:v>https://search.bilibili.com/all?keyword=Final%20Cut%20Pro%20X%20GenJi</x:v>
      </x:c>
      <x:c r="T21" s="15" t="str">
        <x:v>v2同日快照</x:v>
      </x:c>
      <x:c r="U21" s="15" t="str">
        <x:v>中</x:v>
      </x:c>
      <x:c r="V21" s="15" t="str">
        <x:v>同日v2高置信基准中的FCPX教程。</x:v>
      </x:c>
    </x:row>
    <x:row r="22">
      <x:c r="A22" s="15" t="str">
        <x:v>Bilibili</x:v>
      </x:c>
      <x:c r="B22" s="15" t="n">
        <x:v>21</x:v>
      </x:c>
      <x:c r="C22" s="18" t="n">
        <x:v>162000</x:v>
      </x:c>
      <x:c r="D22" s="15" t="str">
        <x:v>16.2万</x:v>
      </x:c>
      <x:c r="E22" s="15" t="str">
        <x:v>必看纯干货：十大剪辑思维提升你的剪辑层次！</x:v>
      </x:c>
      <x:c r="F22" s="15" t="str">
        <x:v>Software-agnostic</x:v>
      </x:c>
      <x:c r="G22" s="15" t="str">
        <x:v>None</x:v>
      </x:c>
      <x:c r="H22" s="15" t="str">
        <x:v>Software-agnostic</x:v>
      </x:c>
      <x:c r="I22" s="15" t="n">
        <x:v>0</x:v>
      </x:c>
      <x:c r="J22" s="15" t="n">
        <x:v>0</x:v>
      </x:c>
      <x:c r="K22" s="15" t="n">
        <x:v>0</x:v>
      </x:c>
      <x:c r="L22" s="15" t="n">
        <x:v>0</x:v>
      </x:c>
      <x:c r="M22" s="15" t="n">
        <x:v>0</x:v>
      </x:c>
      <x:c r="N22" s="15" t="n">
        <x:v>0</x:v>
      </x:c>
      <x:c r="O22" s="15" t="n">
        <x:v>0</x:v>
      </x:c>
      <x:c r="P22" s="15" t="str">
        <x:v>剪辑思维</x:v>
      </x:c>
      <x:c r="Q22" s="15" t="str">
        <x:v>剪辑理论 教程</x:v>
      </x:c>
      <x:c r="R22" s="15" t="str">
        <x:v>https://search.bilibili.com/all?keyword=%E5%8D%81%E5%A4%A7%E5%89%AA%E8%BE%91%E6%80%9D%E7%BB%B4</x:v>
      </x:c>
      <x:c r="S22" s="15" t="str">
        <x:v>https://search.bilibili.com/all?keyword=%E5%89%AA%E8%BE%91%E6%80%9D%E7%BB%B4</x:v>
      </x:c>
      <x:c r="T22" s="15" t="str">
        <x:v>搜索/推荐公开计数</x:v>
      </x:c>
      <x:c r="U22" s="15" t="str">
        <x:v>中</x:v>
      </x:c>
      <x:c r="V22" s="15" t="str">
        <x:v>理论样本。</x:v>
      </x:c>
    </x:row>
    <x:row r="23">
      <x:c r="A23" s="15" t="str">
        <x:v>Bilibili</x:v>
      </x:c>
      <x:c r="B23" s="15" t="n">
        <x:v>22</x:v>
      </x:c>
      <x:c r="C23" s="18" t="n">
        <x:v>143000</x:v>
      </x:c>
      <x:c r="D23" s="15" t="str">
        <x:v>14.3万</x:v>
      </x:c>
      <x:c r="E23" s="15" t="str">
        <x:v>Pr再见~Final CUT好强！达芬奇？最适合个人创作者的剪辑工具</x:v>
      </x:c>
      <x:c r="F23" s="15" t="str">
        <x:v>Multi-tool</x:v>
      </x:c>
      <x:c r="G23" s="15" t="str">
        <x:v>Multi</x:v>
      </x:c>
      <x:c r="H23" s="15" t="str">
        <x:v>Multi-tool</x:v>
      </x:c>
      <x:c r="I23" s="15" t="n">
        <x:v>0</x:v>
      </x:c>
      <x:c r="J23" s="15" t="n">
        <x:v>0</x:v>
      </x:c>
      <x:c r="K23" s="15" t="n">
        <x:v>0</x:v>
      </x:c>
      <x:c r="L23" s="15" t="n">
        <x:v>0</x:v>
      </x:c>
      <x:c r="M23" s="15" t="n">
        <x:v>0</x:v>
      </x:c>
      <x:c r="N23" s="15" t="n">
        <x:v>0</x:v>
      </x:c>
      <x:c r="O23" s="15" t="n">
        <x:v>0</x:v>
      </x:c>
      <x:c r="P23" s="15" t="str">
        <x:v>Premiere；Final Cut；DaVinci</x:v>
      </x:c>
      <x:c r="Q23" s="15" t="str">
        <x:v>视频剪辑教程 新手 入门 全流程</x:v>
      </x:c>
      <x:c r="R23" s="15" t="str">
        <x:v>https://search.bilibili.com/all?keyword=Pr%E5%86%8D%E8%A7%81%20Final%20CUT%E5%A5%BD%E5%BC%BA%20%E8%BE%BE%E8%8A%AC%E5%A5%87</x:v>
      </x:c>
      <x:c r="S23" s="15" t="str">
        <x:v>https://search.bilibili.com/all?keyword=%E6%9C%80%E9%80%82%E5%90%88%E4%B8%AA%E4%BA%BA%E5%88%9B%E4%BD%9C%E8%80%85%E7%9A%84%E5%89%AA%E8%BE%91%E5%B7%A5%E5%85%B7</x:v>
      </x:c>
      <x:c r="T23" s="15" t="str">
        <x:v>搜索公开计数</x:v>
      </x:c>
      <x:c r="U23" s="15" t="str">
        <x:v>中</x:v>
      </x:c>
      <x:c r="V23" s="15" t="str">
        <x:v>比较型教程。</x:v>
      </x:c>
    </x:row>
    <x:row r="24">
      <x:c r="A24" s="15" t="str">
        <x:v>Bilibili</x:v>
      </x:c>
      <x:c r="B24" s="15" t="n">
        <x:v>23</x:v>
      </x:c>
      <x:c r="C24" s="18" t="n">
        <x:v>139000</x:v>
      </x:c>
      <x:c r="D24" s="15" t="str">
        <x:v>13.9万</x:v>
      </x:c>
      <x:c r="E24" s="15" t="str">
        <x:v>奥斯卡最佳剪辑《老无所依》的剪辑思维和剪辑逻辑</x:v>
      </x:c>
      <x:c r="F24" s="15" t="str">
        <x:v>Software-agnostic</x:v>
      </x:c>
      <x:c r="G24" s="15" t="str">
        <x:v>None</x:v>
      </x:c>
      <x:c r="H24" s="15" t="str">
        <x:v>Software-agnostic</x:v>
      </x:c>
      <x:c r="I24" s="15" t="n">
        <x:v>0</x:v>
      </x:c>
      <x:c r="J24" s="15" t="n">
        <x:v>0</x:v>
      </x:c>
      <x:c r="K24" s="15" t="n">
        <x:v>0</x:v>
      </x:c>
      <x:c r="L24" s="15" t="n">
        <x:v>0</x:v>
      </x:c>
      <x:c r="M24" s="15" t="n">
        <x:v>0</x:v>
      </x:c>
      <x:c r="N24" s="15" t="n">
        <x:v>0</x:v>
      </x:c>
      <x:c r="O24" s="15" t="n">
        <x:v>0</x:v>
      </x:c>
      <x:c r="P24" s="15" t="str">
        <x:v>剪辑理论</x:v>
      </x:c>
      <x:c r="Q24" s="15" t="str">
        <x:v>剪辑理论 教程</x:v>
      </x:c>
      <x:c r="R24" s="15" t="str">
        <x:v>https://search.bilibili.com/all?keyword=%E8%80%81%E6%97%A0%E6%89%80%E4%BE%9D%20%E5%89%AA%E8%BE%91%E6%80%9D%E7%BB%B4</x:v>
      </x:c>
      <x:c r="S24" s="15" t="str">
        <x:v>https://search.bilibili.com/all?keyword=%E5%A5%A5%E6%96%AF%E5%8D%A1%E6%9C%80%E4%BD%B3%E5%89%AA%E8%BE%91%20%E8%80%81%E6%97%A0%E6%89%80%E4%BE%9D</x:v>
      </x:c>
      <x:c r="T24" s="15" t="str">
        <x:v>搜索/推荐公开计数</x:v>
      </x:c>
      <x:c r="U24" s="15" t="str">
        <x:v>中</x:v>
      </x:c>
      <x:c r="V24" s="15" t="str">
        <x:v>理论型。</x:v>
      </x:c>
    </x:row>
    <x:row r="25">
      <x:c r="A25" s="15" t="str">
        <x:v>Bilibili</x:v>
      </x:c>
      <x:c r="B25" s="15" t="n">
        <x:v>24</x:v>
      </x:c>
      <x:c r="C25" s="18" t="n">
        <x:v>138000</x:v>
      </x:c>
      <x:c r="D25" s="15" t="str">
        <x:v>13.8万</x:v>
      </x:c>
      <x:c r="E25" s="15" t="str">
        <x:v>当顶级导演将声音玩到极致：电影声音设计</x:v>
      </x:c>
      <x:c r="F25" s="15" t="str">
        <x:v>Software-agnostic</x:v>
      </x:c>
      <x:c r="G25" s="15" t="str">
        <x:v>None</x:v>
      </x:c>
      <x:c r="H25" s="15" t="str">
        <x:v>Software-agnostic</x:v>
      </x:c>
      <x:c r="I25" s="15" t="n">
        <x:v>0</x:v>
      </x:c>
      <x:c r="J25" s="15" t="n">
        <x:v>0</x:v>
      </x:c>
      <x:c r="K25" s="15" t="n">
        <x:v>0</x:v>
      </x:c>
      <x:c r="L25" s="15" t="n">
        <x:v>0</x:v>
      </x:c>
      <x:c r="M25" s="15" t="n">
        <x:v>0</x:v>
      </x:c>
      <x:c r="N25" s="15" t="n">
        <x:v>0</x:v>
      </x:c>
      <x:c r="O25" s="15" t="n">
        <x:v>0</x:v>
      </x:c>
      <x:c r="P25" s="15" t="str">
        <x:v>声音设计</x:v>
      </x:c>
      <x:c r="Q25" s="15" t="str">
        <x:v>影视后期 系统教学 剪辑 教程</x:v>
      </x:c>
      <x:c r="R25" s="15" t="str">
        <x:v>https://search.bilibili.com/all?keyword=%E7%94%B5%E5%BD%B1%E5%A3%B0%E9%9F%B3%E8%AE%BE%E8%AE%A1%20%E9%A1%B6%E7%BA%A7%E5%AF%BC%E6%BC%94</x:v>
      </x:c>
      <x:c r="S25" s="15" t="str">
        <x:v>https://search.bilibili.com/all?keyword=%E7%94%B5%E5%BD%B1%E5%A3%B0%E9%9F%B3%E8%AE%BE%E8%AE%A1</x:v>
      </x:c>
      <x:c r="T25" s="15" t="str">
        <x:v>搜索/推荐公开计数</x:v>
      </x:c>
      <x:c r="U25" s="15" t="str">
        <x:v>中</x:v>
      </x:c>
      <x:c r="V25" s="15" t="str">
        <x:v>后期链中的声音学习入口。</x:v>
      </x:c>
    </x:row>
    <x:row r="26">
      <x:c r="A26" s="15" t="str">
        <x:v>Bilibili</x:v>
      </x:c>
      <x:c r="B26" s="15" t="n">
        <x:v>25</x:v>
      </x:c>
      <x:c r="C26" s="18" t="n">
        <x:v>120000</x:v>
      </x:c>
      <x:c r="D26" s="15" t="str">
        <x:v>12.0万</x:v>
      </x:c>
      <x:c r="E26" s="15" t="str">
        <x:v>【FCPX教程】新手零基础23分钟快速入门｜内附素材</x:v>
      </x:c>
      <x:c r="F26" s="15" t="str">
        <x:v>Final Cut Pro</x:v>
      </x:c>
      <x:c r="G26" s="15" t="str">
        <x:v>Apple</x:v>
      </x:c>
      <x:c r="H26" s="15" t="str">
        <x:v>Professional/Desktop</x:v>
      </x:c>
      <x:c r="I26" s="15" t="n">
        <x:v>0</x:v>
      </x:c>
      <x:c r="J26" s="15" t="n">
        <x:v>0</x:v>
      </x:c>
      <x:c r="K26" s="15" t="n">
        <x:v>0</x:v>
      </x:c>
      <x:c r="L26" s="15" t="n">
        <x:v>0</x:v>
      </x:c>
      <x:c r="M26" s="15" t="n">
        <x:v>0</x:v>
      </x:c>
      <x:c r="N26" s="15" t="n">
        <x:v>0</x:v>
      </x:c>
      <x:c r="O26" s="15" t="n">
        <x:v>1</x:v>
      </x:c>
      <x:c r="P26" s="15" t="str"/>
      <x:c r="Q26" s="15" t="str">
        <x:v>视频剪辑教程 新手 入门 全流程</x:v>
      </x:c>
      <x:c r="R26" s="15" t="str">
        <x:v>https://www.bilibili.com/video/BV1Xa411r7hi/</x:v>
      </x:c>
      <x:c r="S26" s="15" t="str">
        <x:v>https://www.bilibili.com/video/BV1Ce4y127Ug/</x:v>
      </x:c>
      <x:c r="T26" s="15" t="str">
        <x:v>相关推荐公开计数</x:v>
      </x:c>
      <x:c r="U26" s="15" t="str">
        <x:v>高</x:v>
      </x:c>
      <x:c r="V26" s="15" t="str">
        <x:v>相关推荐明确显示约12.0万。</x:v>
      </x:c>
    </x:row>
    <x:row r="27">
      <x:c r="A27" s="15" t="str">
        <x:v>Bilibili</x:v>
      </x:c>
      <x:c r="B27" s="15" t="n">
        <x:v>26</x:v>
      </x:c>
      <x:c r="C27" s="18" t="n">
        <x:v>68000</x:v>
      </x:c>
      <x:c r="D27" s="15" t="str">
        <x:v>6.8万</x:v>
      </x:c>
      <x:c r="E27" s="15" t="str">
        <x:v>全网硬核干货《剪辑理论》助你成为“影片剪辑”“短视频剪辑”高手</x:v>
      </x:c>
      <x:c r="F27" s="15" t="str">
        <x:v>Software-agnostic</x:v>
      </x:c>
      <x:c r="G27" s="15" t="str">
        <x:v>None</x:v>
      </x:c>
      <x:c r="H27" s="15" t="str">
        <x:v>Software-agnostic</x:v>
      </x:c>
      <x:c r="I27" s="15" t="n">
        <x:v>0</x:v>
      </x:c>
      <x:c r="J27" s="15" t="n">
        <x:v>0</x:v>
      </x:c>
      <x:c r="K27" s="15" t="n">
        <x:v>0</x:v>
      </x:c>
      <x:c r="L27" s="15" t="n">
        <x:v>0</x:v>
      </x:c>
      <x:c r="M27" s="15" t="n">
        <x:v>0</x:v>
      </x:c>
      <x:c r="N27" s="15" t="n">
        <x:v>0</x:v>
      </x:c>
      <x:c r="O27" s="15" t="n">
        <x:v>0</x:v>
      </x:c>
      <x:c r="P27" s="15" t="str">
        <x:v>剪辑理论</x:v>
      </x:c>
      <x:c r="Q27" s="15" t="str">
        <x:v>剪辑理论 教程</x:v>
      </x:c>
      <x:c r="R27" s="15" t="str">
        <x:v>https://www.bilibili.com/video/BV1344y147Sc/</x:v>
      </x:c>
      <x:c r="S27" s="15" t="str">
        <x:v>https://www.bilibili.com/video/BV1344y147Sc/</x:v>
      </x:c>
      <x:c r="T27" s="15" t="str">
        <x:v>视频页公开计数</x:v>
      </x:c>
      <x:c r="U27" s="15" t="str">
        <x:v>高</x:v>
      </x:c>
      <x:c r="V27" s="15" t="str">
        <x:v>视频页公开显示6.8万。</x:v>
      </x:c>
    </x:row>
    <x:row r="28">
      <x:c r="A28" s="15" t="str">
        <x:v>Bilibili</x:v>
      </x:c>
      <x:c r="B28" s="15" t="n">
        <x:v>27</x:v>
      </x:c>
      <x:c r="C28" s="18" t="n">
        <x:v>60000</x:v>
      </x:c>
      <x:c r="D28" s="15" t="str">
        <x:v>6.0万</x:v>
      </x:c>
      <x:c r="E28" s="15" t="str">
        <x:v>达芬奇还是Final Cut Pro？2025年我有答案了</x:v>
      </x:c>
      <x:c r="F28" s="15" t="str">
        <x:v>Multi-tool</x:v>
      </x:c>
      <x:c r="G28" s="15" t="str">
        <x:v>Multi</x:v>
      </x:c>
      <x:c r="H28" s="15" t="str">
        <x:v>Multi-tool</x:v>
      </x:c>
      <x:c r="I28" s="15" t="n">
        <x:v>0</x:v>
      </x:c>
      <x:c r="J28" s="15" t="n">
        <x:v>0</x:v>
      </x:c>
      <x:c r="K28" s="15" t="n">
        <x:v>0</x:v>
      </x:c>
      <x:c r="L28" s="15" t="n">
        <x:v>0</x:v>
      </x:c>
      <x:c r="M28" s="15" t="n">
        <x:v>0</x:v>
      </x:c>
      <x:c r="N28" s="15" t="n">
        <x:v>0</x:v>
      </x:c>
      <x:c r="O28" s="15" t="n">
        <x:v>0</x:v>
      </x:c>
      <x:c r="P28" s="15" t="str">
        <x:v>DaVinci；Final Cut</x:v>
      </x:c>
      <x:c r="Q28" s="15" t="str">
        <x:v>视频剪辑教程 新手 入门 全流程</x:v>
      </x:c>
      <x:c r="R28" s="15" t="str">
        <x:v>https://search.bilibili.com/all?keyword=%E8%BE%BE%E8%8A%AC%E5%A5%87%E8%BF%98%E6%98%AFFinal%20Cut%20Pro%202025</x:v>
      </x:c>
      <x:c r="S28" s="15" t="str">
        <x:v>https://search.bilibili.com/all?keyword=%E8%BE%BE%E8%8A%AC%E5%A5%87%20Final%20Cut%20Pro</x:v>
      </x:c>
      <x:c r="T28" s="15" t="str">
        <x:v>搜索公开计数</x:v>
      </x:c>
      <x:c r="U28" s="15" t="str">
        <x:v>中</x:v>
      </x:c>
      <x:c r="V28" s="15" t="str">
        <x:v>比较型教程。</x:v>
      </x:c>
    </x:row>
    <x:row r="29">
      <x:c r="A29" s="15" t="str">
        <x:v>Bilibili</x:v>
      </x:c>
      <x:c r="B29" s="15" t="n">
        <x:v>28</x:v>
      </x:c>
      <x:c r="C29" s="18" t="n">
        <x:v>43000</x:v>
      </x:c>
      <x:c r="D29" s="15" t="str">
        <x:v>4.3万</x:v>
      </x:c>
      <x:c r="E29" s="15" t="str">
        <x:v>《剪辑思维》100集（全）：从零开始打剪辑基础</x:v>
      </x:c>
      <x:c r="F29" s="15" t="str">
        <x:v>Software-agnostic</x:v>
      </x:c>
      <x:c r="G29" s="15" t="str">
        <x:v>None</x:v>
      </x:c>
      <x:c r="H29" s="15" t="str">
        <x:v>Software-agnostic</x:v>
      </x:c>
      <x:c r="I29" s="15" t="n">
        <x:v>0</x:v>
      </x:c>
      <x:c r="J29" s="15" t="n">
        <x:v>0</x:v>
      </x:c>
      <x:c r="K29" s="15" t="n">
        <x:v>0</x:v>
      </x:c>
      <x:c r="L29" s="15" t="n">
        <x:v>0</x:v>
      </x:c>
      <x:c r="M29" s="15" t="n">
        <x:v>0</x:v>
      </x:c>
      <x:c r="N29" s="15" t="n">
        <x:v>0</x:v>
      </x:c>
      <x:c r="O29" s="15" t="n">
        <x:v>0</x:v>
      </x:c>
      <x:c r="P29" s="15" t="str">
        <x:v>剪辑理论</x:v>
      </x:c>
      <x:c r="Q29" s="15" t="str">
        <x:v>剪辑理论 教程</x:v>
      </x:c>
      <x:c r="R29" s="15" t="str">
        <x:v>https://search.bilibili.com/all?keyword=%E5%89%AA%E8%BE%91%E6%80%9D%E7%BB%B4100%E9%9B%86</x:v>
      </x:c>
      <x:c r="S29" s="15" t="str">
        <x:v>https://www.bilibili.com/video/BV1134nzSE4L/</x:v>
      </x:c>
      <x:c r="T29" s="15" t="str">
        <x:v>搜索/推荐公开计数</x:v>
      </x:c>
      <x:c r="U29" s="15" t="str">
        <x:v>中</x:v>
      </x:c>
      <x:c r="V29" s="15" t="str">
        <x:v>理论型。</x:v>
      </x:c>
    </x:row>
    <x:row r="30">
      <x:c r="A30" s="15" t="str">
        <x:v>Bilibili</x:v>
      </x:c>
      <x:c r="B30" s="15" t="n">
        <x:v>29</x:v>
      </x:c>
      <x:c r="C30" s="18" t="n">
        <x:v>30000</x:v>
      </x:c>
      <x:c r="D30" s="15" t="str">
        <x:v>3.0万</x:v>
      </x:c>
      <x:c r="E30" s="15" t="str">
        <x:v>好莱坞大师班：音乐剪辑的艺术</x:v>
      </x:c>
      <x:c r="F30" s="15" t="str">
        <x:v>Software-agnostic</x:v>
      </x:c>
      <x:c r="G30" s="15" t="str">
        <x:v>None</x:v>
      </x:c>
      <x:c r="H30" s="15" t="str">
        <x:v>Software-agnostic</x:v>
      </x:c>
      <x:c r="I30" s="15" t="n">
        <x:v>0</x:v>
      </x:c>
      <x:c r="J30" s="15" t="n">
        <x:v>0</x:v>
      </x:c>
      <x:c r="K30" s="15" t="n">
        <x:v>0</x:v>
      </x:c>
      <x:c r="L30" s="15" t="n">
        <x:v>0</x:v>
      </x:c>
      <x:c r="M30" s="15" t="n">
        <x:v>0</x:v>
      </x:c>
      <x:c r="N30" s="15" t="n">
        <x:v>0</x:v>
      </x:c>
      <x:c r="O30" s="15" t="n">
        <x:v>0</x:v>
      </x:c>
      <x:c r="P30" s="15" t="str">
        <x:v>音乐剪辑</x:v>
      </x:c>
      <x:c r="Q30" s="15" t="str">
        <x:v>剪辑理论 教程</x:v>
      </x:c>
      <x:c r="R30" s="15" t="str">
        <x:v>https://search.bilibili.com/all?keyword=%E5%A5%BD%E8%8E%B1%E5%9D%9E%E5%A4%A7%E5%B8%88%E7%8F%AD%20%E9%9F%B3%E4%B9%90%E5%89%AA%E8%BE%91%E7%9A%84%E8%89%BA%E6%9C%AF</x:v>
      </x:c>
      <x:c r="S30" s="15" t="str">
        <x:v>https://search.bilibili.com/all?keyword=%E9%9F%B3%E4%B9%90%E5%89%AA%E8%BE%91</x:v>
      </x:c>
      <x:c r="T30" s="15" t="str">
        <x:v>搜索/推荐公开计数</x:v>
      </x:c>
      <x:c r="U30" s="15" t="str">
        <x:v>中</x:v>
      </x:c>
      <x:c r="V30" s="15" t="str">
        <x:v>理论型。</x:v>
      </x:c>
    </x:row>
    <x:row r="31">
      <x:c r="A31" s="15" t="str">
        <x:v>Bilibili</x:v>
      </x:c>
      <x:c r="B31" s="15" t="n">
        <x:v>30</x:v>
      </x:c>
      <x:c r="C31" s="18" t="n">
        <x:v>19000</x:v>
      </x:c>
      <x:c r="D31" s="15" t="str">
        <x:v>1.9万</x:v>
      </x:c>
      <x:c r="E31" s="15" t="str">
        <x:v>《剪辑大师课》奥斯卡最佳剪辑师的剪辑思路与技巧</x:v>
      </x:c>
      <x:c r="F31" s="15" t="str">
        <x:v>Software-agnostic</x:v>
      </x:c>
      <x:c r="G31" s="15" t="str">
        <x:v>None</x:v>
      </x:c>
      <x:c r="H31" s="15" t="str">
        <x:v>Software-agnostic</x:v>
      </x:c>
      <x:c r="I31" s="15" t="n">
        <x:v>0</x:v>
      </x:c>
      <x:c r="J31" s="15" t="n">
        <x:v>0</x:v>
      </x:c>
      <x:c r="K31" s="15" t="n">
        <x:v>0</x:v>
      </x:c>
      <x:c r="L31" s="15" t="n">
        <x:v>0</x:v>
      </x:c>
      <x:c r="M31" s="15" t="n">
        <x:v>0</x:v>
      </x:c>
      <x:c r="N31" s="15" t="n">
        <x:v>0</x:v>
      </x:c>
      <x:c r="O31" s="15" t="n">
        <x:v>0</x:v>
      </x:c>
      <x:c r="P31" s="15" t="str">
        <x:v>剪辑理论</x:v>
      </x:c>
      <x:c r="Q31" s="15" t="str">
        <x:v>剪辑理论 教程</x:v>
      </x:c>
      <x:c r="R31" s="15" t="str">
        <x:v>https://search.bilibili.com/all?keyword=%E5%89%AA%E8%BE%91%E5%A4%A7%E5%B8%88%E8%AF%BE%20%E5%A5%A5%E6%96%AF%E5%8D%A1%E6%9C%80%E4%BD%B3%E5%89%AA%E8%BE%91%E5%B8%88</x:v>
      </x:c>
      <x:c r="S31" s="15" t="str">
        <x:v>https://search.bilibili.com/all?keyword=%E5%89%AA%E8%BE%91%E5%A4%A7%E5%B8%88%E8%AF%BE</x:v>
      </x:c>
      <x:c r="T31" s="15" t="str">
        <x:v>搜索/推荐公开计数</x:v>
      </x:c>
      <x:c r="U31" s="15" t="str">
        <x:v>中</x:v>
      </x:c>
      <x:c r="V31" s="15" t="str">
        <x:v>理论型。</x:v>
      </x:c>
    </x:row>
    <x:row r="32">
      <x:c r="A32" s="15" t="str">
        <x:v>YouTube</x:v>
      </x:c>
      <x:c r="B32" s="15" t="n">
        <x:v>1</x:v>
      </x:c>
      <x:c r="C32" s="18" t="n">
        <x:v>5800000</x:v>
      </x:c>
      <x:c r="D32" s="15" t="str">
        <x:v>5.8M</x:v>
      </x:c>
      <x:c r="E32" s="15" t="str">
        <x:v>KineMaster - Professional Mobile Video Editing Tutorial</x:v>
      </x:c>
      <x:c r="F32" s="15" t="str">
        <x:v>KineMaster</x:v>
      </x:c>
      <x:c r="G32" s="15" t="str">
        <x:v>KineMaster</x:v>
      </x:c>
      <x:c r="H32" s="15" t="str">
        <x:v>Consumer/Mobile/Web</x:v>
      </x:c>
      <x:c r="I32" s="15" t="n">
        <x:v>0</x:v>
      </x:c>
      <x:c r="J32" s="15" t="n">
        <x:v>0</x:v>
      </x:c>
      <x:c r="K32" s="15" t="n">
        <x:v>0</x:v>
      </x:c>
      <x:c r="L32" s="15" t="n">
        <x:v>0</x:v>
      </x:c>
      <x:c r="M32" s="15" t="n">
        <x:v>0</x:v>
      </x:c>
      <x:c r="N32" s="15" t="n">
        <x:v>0</x:v>
      </x:c>
      <x:c r="O32" s="15" t="n">
        <x:v>1</x:v>
      </x:c>
      <x:c r="P32" s="15" t="str"/>
      <x:c r="Q32" s="15" t="str">
        <x:v>video editing tutorial beginners start to finish</x:v>
      </x:c>
      <x:c r="R32" s="15" t="str">
        <x:v>https://www.youtube.com/results?search_query=KineMaster+Professional+Mobile+Video+Editing+Tutorial</x:v>
      </x:c>
      <x:c r="S32" s="15" t="str">
        <x:v>https://www.youtube.com/results?search_query=KineMaster+Professional+Mobile+Video+Editing+Tutorial</x:v>
      </x:c>
      <x:c r="T32" s="15" t="str">
        <x:v>YouTube搜索/相关推荐公开计数</x:v>
      </x:c>
      <x:c r="U32" s="15" t="str">
        <x:v>中</x:v>
      </x:c>
      <x:c r="V32" s="15" t="str">
        <x:v>标题为英文；口播语言未单独验证，因此本研究只把它当YouTube平台样本，不等同美国样本。</x:v>
      </x:c>
    </x:row>
    <x:row r="33">
      <x:c r="A33" s="15" t="str">
        <x:v>YouTube</x:v>
      </x:c>
      <x:c r="B33" s="15" t="n">
        <x:v>2</x:v>
      </x:c>
      <x:c r="C33" s="18" t="n">
        <x:v>4500000</x:v>
      </x:c>
      <x:c r="D33" s="15" t="str">
        <x:v>4.5M</x:v>
      </x:c>
      <x:c r="E33" s="15" t="str">
        <x:v>World's Most Advanced Video Editing Tutorial (Premiere Pro) - Editing LTT from start to finish</x:v>
      </x:c>
      <x:c r="F33" s="15" t="str">
        <x:v>Premiere Pro</x:v>
      </x:c>
      <x:c r="G33" s="15" t="str">
        <x:v>Adobe</x:v>
      </x:c>
      <x:c r="H33" s="15" t="str">
        <x:v>Professional/Desktop</x:v>
      </x:c>
      <x:c r="I33" s="15" t="n">
        <x:v>1</x:v>
      </x:c>
      <x:c r="J33" s="15" t="n">
        <x:v>0</x:v>
      </x:c>
      <x:c r="K33" s="15" t="n">
        <x:v>1</x:v>
      </x:c>
      <x:c r="L33" s="15" t="n">
        <x:v>1</x:v>
      </x:c>
      <x:c r="M33" s="15" t="n">
        <x:v>0</x:v>
      </x:c>
      <x:c r="N33" s="15" t="n">
        <x:v>0</x:v>
      </x:c>
      <x:c r="O33" s="15" t="n">
        <x:v>1</x:v>
      </x:c>
      <x:c r="P33" s="15" t="str"/>
      <x:c r="Q33" s="15" t="str">
        <x:v>video editing tutorial beginners start to finish</x:v>
      </x:c>
      <x:c r="R33" s="15" t="str">
        <x:v>https://www.youtube.com/watch?v=O6ERELse_QY</x:v>
      </x:c>
      <x:c r="S33" s="15" t="str">
        <x:v>https://www.youtube.com/watch?v=O6ERELse_QY</x:v>
      </x:c>
      <x:c r="T33" s="15" t="str">
        <x:v>YouTube公开计数</x:v>
      </x:c>
      <x:c r="U33" s="15" t="str">
        <x:v>高</x:v>
      </x:c>
      <x:c r="V33" s="15" t="str">
        <x:v>公开索引显示4.5M。</x:v>
      </x:c>
    </x:row>
    <x:row r="34">
      <x:c r="A34" s="15" t="str">
        <x:v>YouTube</x:v>
      </x:c>
      <x:c r="B34" s="15" t="n">
        <x:v>3</x:v>
      </x:c>
      <x:c r="C34" s="18" t="n">
        <x:v>3800000</x:v>
      </x:c>
      <x:c r="D34" s="15" t="str">
        <x:v>3.8M</x:v>
      </x:c>
      <x:c r="E34" s="15" t="str">
        <x:v>Beginners Guide to Video Editing (Start to Finish)</x:v>
      </x:c>
      <x:c r="F34" s="15" t="str">
        <x:v>Camtasia</x:v>
      </x:c>
      <x:c r="G34" s="15" t="str">
        <x:v>TechSmith</x:v>
      </x:c>
      <x:c r="H34" s="15" t="str">
        <x:v>Creator/Desktop</x:v>
      </x:c>
      <x:c r="I34" s="15" t="n">
        <x:v>0</x:v>
      </x:c>
      <x:c r="J34" s="15" t="n">
        <x:v>0</x:v>
      </x:c>
      <x:c r="K34" s="15" t="n">
        <x:v>0</x:v>
      </x:c>
      <x:c r="L34" s="15" t="n">
        <x:v>0</x:v>
      </x:c>
      <x:c r="M34" s="15" t="n">
        <x:v>0</x:v>
      </x:c>
      <x:c r="N34" s="15" t="n">
        <x:v>0</x:v>
      </x:c>
      <x:c r="O34" s="15" t="n">
        <x:v>1</x:v>
      </x:c>
      <x:c r="P34" s="15" t="str"/>
      <x:c r="Q34" s="15" t="str">
        <x:v>video editing tutorial beginners start to finish</x:v>
      </x:c>
      <x:c r="R34" s="15" t="str">
        <x:v>https://www.youtube.com/watch?v=y7Ci_H9bYEk</x:v>
      </x:c>
      <x:c r="S34" s="15" t="str">
        <x:v>https://www.youtube.com/watch?v=y7Ci_H9bYEk</x:v>
      </x:c>
      <x:c r="T34" s="15" t="str">
        <x:v>YouTube公开计数+内容验证</x:v>
      </x:c>
      <x:c r="U34" s="15" t="str">
        <x:v>高</x:v>
      </x:c>
      <x:c r="V34" s="15" t="str">
        <x:v>视频/相关材料明确使用Camtasia。</x:v>
      </x:c>
    </x:row>
    <x:row r="35">
      <x:c r="A35" s="15" t="str">
        <x:v>YouTube</x:v>
      </x:c>
      <x:c r="B35" s="15" t="n">
        <x:v>4</x:v>
      </x:c>
      <x:c r="C35" s="18" t="n">
        <x:v>2900000</x:v>
      </x:c>
      <x:c r="D35" s="15" t="str">
        <x:v>2.9M</x:v>
      </x:c>
      <x:c r="E35" s="15" t="str">
        <x:v>DaVinci Resolve 18 Tutorial for Beginners</x:v>
      </x:c>
      <x:c r="F35" s="15" t="str">
        <x:v>DaVinci Resolve</x:v>
      </x:c>
      <x:c r="G35" s="15" t="str">
        <x:v>Blackmagic Design</x:v>
      </x:c>
      <x:c r="H35" s="15" t="str">
        <x:v>Professional/Desktop</x:v>
      </x:c>
      <x:c r="I35" s="15" t="n">
        <x:v>0</x:v>
      </x:c>
      <x:c r="J35" s="15" t="n">
        <x:v>0</x:v>
      </x:c>
      <x:c r="K35" s="15" t="n">
        <x:v>0</x:v>
      </x:c>
      <x:c r="L35" s="15" t="n">
        <x:v>0</x:v>
      </x:c>
      <x:c r="M35" s="15" t="n">
        <x:v>0</x:v>
      </x:c>
      <x:c r="N35" s="15" t="n">
        <x:v>0</x:v>
      </x:c>
      <x:c r="O35" s="15" t="n">
        <x:v>1</x:v>
      </x:c>
      <x:c r="P35" s="15" t="str"/>
      <x:c r="Q35" s="15" t="str">
        <x:v>beginner video editing tutorial full course</x:v>
      </x:c>
      <x:c r="R35" s="15" t="str">
        <x:v>https://www.youtube.com/watch?v=EEksPdEc7aI</x:v>
      </x:c>
      <x:c r="S35" s="15" t="str">
        <x:v>https://www.youtube.com/watch?v=EEksPdEc7aI</x:v>
      </x:c>
      <x:c r="T35" s="15" t="str">
        <x:v>YouTube公开计数</x:v>
      </x:c>
      <x:c r="U35" s="15" t="str">
        <x:v>高</x:v>
      </x:c>
      <x:c r="V35" s="15" t="str">
        <x:v>v2同日及公开索引约2.9M。</x:v>
      </x:c>
    </x:row>
    <x:row r="36">
      <x:c r="A36" s="15" t="str">
        <x:v>YouTube</x:v>
      </x:c>
      <x:c r="B36" s="15" t="n">
        <x:v>5</x:v>
      </x:c>
      <x:c r="C36" s="18" t="n">
        <x:v>2300000</x:v>
      </x:c>
      <x:c r="D36" s="15" t="str">
        <x:v>2.3M</x:v>
      </x:c>
      <x:c r="E36" s="15" t="str">
        <x:v>Adobe Premiere Pro Course for Beginners: Video Editing 2021</x:v>
      </x:c>
      <x:c r="F36" s="15" t="str">
        <x:v>Premiere Pro</x:v>
      </x:c>
      <x:c r="G36" s="15" t="str">
        <x:v>Adobe</x:v>
      </x:c>
      <x:c r="H36" s="15" t="str">
        <x:v>Professional/Desktop</x:v>
      </x:c>
      <x:c r="I36" s="15" t="n">
        <x:v>1</x:v>
      </x:c>
      <x:c r="J36" s="15" t="n">
        <x:v>0</x:v>
      </x:c>
      <x:c r="K36" s="15" t="n">
        <x:v>1</x:v>
      </x:c>
      <x:c r="L36" s="15" t="n">
        <x:v>1</x:v>
      </x:c>
      <x:c r="M36" s="15" t="n">
        <x:v>0</x:v>
      </x:c>
      <x:c r="N36" s="15" t="n">
        <x:v>0</x:v>
      </x:c>
      <x:c r="O36" s="15" t="n">
        <x:v>1</x:v>
      </x:c>
      <x:c r="P36" s="15" t="str"/>
      <x:c r="Q36" s="15" t="str">
        <x:v>beginner video editing tutorial full course</x:v>
      </x:c>
      <x:c r="R36" s="15" t="str">
        <x:v>https://www.youtube.com/watch?v=ggHNVXuV8-w</x:v>
      </x:c>
      <x:c r="S36" s="15" t="str">
        <x:v>https://www.youtube.com/watch?v=ggHNVXuV8-w</x:v>
      </x:c>
      <x:c r="T36" s="15" t="str">
        <x:v>YouTube公开计数</x:v>
      </x:c>
      <x:c r="U36" s="15" t="str">
        <x:v>高</x:v>
      </x:c>
      <x:c r="V36" s="15" t="str">
        <x:v>v2同日公开计数约2.3M。</x:v>
      </x:c>
    </x:row>
    <x:row r="37">
      <x:c r="A37" s="15" t="str">
        <x:v>YouTube</x:v>
      </x:c>
      <x:c r="B37" s="15" t="n">
        <x:v>6</x:v>
      </x:c>
      <x:c r="C37" s="18" t="n">
        <x:v>1800000</x:v>
      </x:c>
      <x:c r="D37" s="15" t="str">
        <x:v>1.8M</x:v>
      </x:c>
      <x:c r="E37" s="15" t="str">
        <x:v>Learn EVERYTHING about Premiere Pro | TUTORIAL</x:v>
      </x:c>
      <x:c r="F37" s="15" t="str">
        <x:v>Premiere Pro</x:v>
      </x:c>
      <x:c r="G37" s="15" t="str">
        <x:v>Adobe</x:v>
      </x:c>
      <x:c r="H37" s="15" t="str">
        <x:v>Professional/Desktop</x:v>
      </x:c>
      <x:c r="I37" s="15" t="n">
        <x:v>1</x:v>
      </x:c>
      <x:c r="J37" s="15" t="n">
        <x:v>0</x:v>
      </x:c>
      <x:c r="K37" s="15" t="n">
        <x:v>1</x:v>
      </x:c>
      <x:c r="L37" s="15" t="n">
        <x:v>1</x:v>
      </x:c>
      <x:c r="M37" s="15" t="n">
        <x:v>0</x:v>
      </x:c>
      <x:c r="N37" s="15" t="n">
        <x:v>0</x:v>
      </x:c>
      <x:c r="O37" s="15" t="n">
        <x:v>1</x:v>
      </x:c>
      <x:c r="P37" s="15" t="str"/>
      <x:c r="Q37" s="15" t="str">
        <x:v>beginner video editing tutorial full course</x:v>
      </x:c>
      <x:c r="R37" s="15" t="str">
        <x:v>https://www.youtube.com/watch?v=1-sNJs-MFYo</x:v>
      </x:c>
      <x:c r="S37" s="15" t="str">
        <x:v>https://www.youtube.com/watch?v=1-sNJs-MFYo</x:v>
      </x:c>
      <x:c r="T37" s="15" t="str">
        <x:v>YouTube公开/相关推荐计数</x:v>
      </x:c>
      <x:c r="U37" s="15" t="str">
        <x:v>高</x:v>
      </x:c>
      <x:c r="V37" s="15" t="str">
        <x:v>搜索索引显示约1.8M。</x:v>
      </x:c>
    </x:row>
    <x:row r="38">
      <x:c r="A38" s="15" t="str">
        <x:v>YouTube</x:v>
      </x:c>
      <x:c r="B38" s="15" t="n">
        <x:v>7</x:v>
      </x:c>
      <x:c r="C38" s="18" t="n">
        <x:v>1600000</x:v>
      </x:c>
      <x:c r="D38" s="15" t="str">
        <x:v>1.6M</x:v>
      </x:c>
      <x:c r="E38" s="15" t="str">
        <x:v>Adobe Premiere Pro Tutorial: A Crash Course For Beginners</x:v>
      </x:c>
      <x:c r="F38" s="15" t="str">
        <x:v>Premiere Pro</x:v>
      </x:c>
      <x:c r="G38" s="15" t="str">
        <x:v>Adobe</x:v>
      </x:c>
      <x:c r="H38" s="15" t="str">
        <x:v>Professional/Desktop</x:v>
      </x:c>
      <x:c r="I38" s="15" t="n">
        <x:v>1</x:v>
      </x:c>
      <x:c r="J38" s="15" t="n">
        <x:v>0</x:v>
      </x:c>
      <x:c r="K38" s="15" t="n">
        <x:v>1</x:v>
      </x:c>
      <x:c r="L38" s="15" t="n">
        <x:v>1</x:v>
      </x:c>
      <x:c r="M38" s="15" t="n">
        <x:v>0</x:v>
      </x:c>
      <x:c r="N38" s="15" t="n">
        <x:v>0</x:v>
      </x:c>
      <x:c r="O38" s="15" t="n">
        <x:v>1</x:v>
      </x:c>
      <x:c r="P38" s="15" t="str"/>
      <x:c r="Q38" s="15" t="str">
        <x:v>beginner video editing tutorial full course</x:v>
      </x:c>
      <x:c r="R38" s="15" t="str">
        <x:v>https://www.youtube.com/results?search_query=Adobe+Premiere+Pro+Tutorial+A+Crash+Course+For+Beginners</x:v>
      </x:c>
      <x:c r="S38" s="15" t="str">
        <x:v>https://www.youtube.com/results?search_query=Adobe+Premiere+Pro+Tutorial+A+Crash+Course+For+Beginners</x:v>
      </x:c>
      <x:c r="T38" s="15" t="str">
        <x:v>YouTube搜索/相关推荐公开计数</x:v>
      </x:c>
      <x:c r="U38" s="15" t="str">
        <x:v>中</x:v>
      </x:c>
      <x:c r="V38" s="15" t="str">
        <x:v>中性教程搜索中发现，约1.6M。</x:v>
      </x:c>
    </x:row>
    <x:row r="39">
      <x:c r="A39" s="15" t="str">
        <x:v>YouTube</x:v>
      </x:c>
      <x:c r="B39" s="15" t="n">
        <x:v>8</x:v>
      </x:c>
      <x:c r="C39" s="18" t="n">
        <x:v>1300000</x:v>
      </x:c>
      <x:c r="D39" s="15" t="str">
        <x:v>1.3M</x:v>
      </x:c>
      <x:c r="E39" s="15" t="str">
        <x:v>iMovie Tutorial for Beginners</x:v>
      </x:c>
      <x:c r="F39" s="15" t="str">
        <x:v>iMovie</x:v>
      </x:c>
      <x:c r="G39" s="15" t="str">
        <x:v>Apple</x:v>
      </x:c>
      <x:c r="H39" s="15" t="str">
        <x:v>Creator/Desktop</x:v>
      </x:c>
      <x:c r="I39" s="15" t="n">
        <x:v>0</x:v>
      </x:c>
      <x:c r="J39" s="15" t="n">
        <x:v>0</x:v>
      </x:c>
      <x:c r="K39" s="15" t="n">
        <x:v>0</x:v>
      </x:c>
      <x:c r="L39" s="15" t="n">
        <x:v>0</x:v>
      </x:c>
      <x:c r="M39" s="15" t="n">
        <x:v>0</x:v>
      </x:c>
      <x:c r="N39" s="15" t="n">
        <x:v>0</x:v>
      </x:c>
      <x:c r="O39" s="15" t="n">
        <x:v>1</x:v>
      </x:c>
      <x:c r="P39" s="15" t="str"/>
      <x:c r="Q39" s="15" t="str">
        <x:v>beginner video editing tutorial full course</x:v>
      </x:c>
      <x:c r="R39" s="15" t="str">
        <x:v>https://www.youtube.com/results?search_query=Kevin+Briggs+iMovie+Tutorial+for+Beginners</x:v>
      </x:c>
      <x:c r="S39" s="15" t="str">
        <x:v>https://www.youtube.com/watch?v=VF2mUJ0P3xU</x:v>
      </x:c>
      <x:c r="T39" s="15" t="str">
        <x:v>YouTube相关推荐公开计数</x:v>
      </x:c>
      <x:c r="U39" s="15" t="str">
        <x:v>高</x:v>
      </x:c>
      <x:c r="V39" s="15" t="str">
        <x:v>相关推荐明确显示Kevin Briggs该教程约1.3M。</x:v>
      </x:c>
    </x:row>
    <x:row r="40">
      <x:c r="A40" s="15" t="str">
        <x:v>YouTube</x:v>
      </x:c>
      <x:c r="B40" s="15" t="n">
        <x:v>9</x:v>
      </x:c>
      <x:c r="C40" s="18" t="n">
        <x:v>1200000</x:v>
      </x:c>
      <x:c r="D40" s="15" t="str">
        <x:v>1.2M</x:v>
      </x:c>
      <x:c r="E40" s="15" t="str">
        <x:v>CapCut Video Editing Tutorial for Beginners | PC and Mac</x:v>
      </x:c>
      <x:c r="F40" s="15" t="str">
        <x:v>CapCut</x:v>
      </x:c>
      <x:c r="G40" s="15" t="str">
        <x:v>ByteDance</x:v>
      </x:c>
      <x:c r="H40" s="15" t="str">
        <x:v>Consumer/Mobile/Web</x:v>
      </x:c>
      <x:c r="I40" s="15" t="n">
        <x:v>0</x:v>
      </x:c>
      <x:c r="J40" s="15" t="n">
        <x:v>0</x:v>
      </x:c>
      <x:c r="K40" s="15" t="n">
        <x:v>0</x:v>
      </x:c>
      <x:c r="L40" s="15" t="n">
        <x:v>0</x:v>
      </x:c>
      <x:c r="M40" s="15" t="n">
        <x:v>1</x:v>
      </x:c>
      <x:c r="N40" s="15" t="n">
        <x:v>0</x:v>
      </x:c>
      <x:c r="O40" s="15" t="n">
        <x:v>1</x:v>
      </x:c>
      <x:c r="P40" s="15" t="str"/>
      <x:c r="Q40" s="15" t="str">
        <x:v>beginner video editing tutorial full course</x:v>
      </x:c>
      <x:c r="R40" s="15" t="str">
        <x:v>https://www.youtube.com/results?search_query=CapCut+Video+Editing+Tutorial+for+Beginners+PC+and+Mac</x:v>
      </x:c>
      <x:c r="S40" s="15" t="str">
        <x:v>https://www.youtube.com/results?search_query=CapCut+Video+Editing+Tutorial+for+Beginners+PC+and+Mac</x:v>
      </x:c>
      <x:c r="T40" s="15" t="str">
        <x:v>YouTube搜索/相关推荐公开计数</x:v>
      </x:c>
      <x:c r="U40" s="15" t="str">
        <x:v>中</x:v>
      </x:c>
      <x:c r="V40" s="15" t="str">
        <x:v>约1.2M。</x:v>
      </x:c>
    </x:row>
    <x:row r="41">
      <x:c r="A41" s="15" t="str">
        <x:v>YouTube</x:v>
      </x:c>
      <x:c r="B41" s="15" t="n">
        <x:v>10</x:v>
      </x:c>
      <x:c r="C41" s="18" t="n">
        <x:v>1200000</x:v>
      </x:c>
      <x:c r="D41" s="15" t="str">
        <x:v>1.2M</x:v>
      </x:c>
      <x:c r="E41" s="15" t="str">
        <x:v>Premiere Pro Full Course Tutorial (6+ Hours)</x:v>
      </x:c>
      <x:c r="F41" s="15" t="str">
        <x:v>Premiere Pro</x:v>
      </x:c>
      <x:c r="G41" s="15" t="str">
        <x:v>Adobe</x:v>
      </x:c>
      <x:c r="H41" s="15" t="str">
        <x:v>Professional/Desktop</x:v>
      </x:c>
      <x:c r="I41" s="15" t="n">
        <x:v>1</x:v>
      </x:c>
      <x:c r="J41" s="15" t="n">
        <x:v>0</x:v>
      </x:c>
      <x:c r="K41" s="15" t="n">
        <x:v>1</x:v>
      </x:c>
      <x:c r="L41" s="15" t="n">
        <x:v>1</x:v>
      </x:c>
      <x:c r="M41" s="15" t="n">
        <x:v>0</x:v>
      </x:c>
      <x:c r="N41" s="15" t="n">
        <x:v>0</x:v>
      </x:c>
      <x:c r="O41" s="15" t="n">
        <x:v>1</x:v>
      </x:c>
      <x:c r="P41" s="15" t="str"/>
      <x:c r="Q41" s="15" t="str">
        <x:v>beginner video editing tutorial full course</x:v>
      </x:c>
      <x:c r="R41" s="15" t="str">
        <x:v>https://www.youtube.com/watch?v=eCsM0r3RNc4</x:v>
      </x:c>
      <x:c r="S41" s="15" t="str">
        <x:v>https://www.youtube.com/watch?v=eCsM0r3RNc4</x:v>
      </x:c>
      <x:c r="T41" s="15" t="str">
        <x:v>YouTube相关推荐公开计数</x:v>
      </x:c>
      <x:c r="U41" s="15" t="str">
        <x:v>高</x:v>
      </x:c>
      <x:c r="V41" s="15" t="str">
        <x:v>相关推荐显示约1.2M。</x:v>
      </x:c>
    </x:row>
    <x:row r="42">
      <x:c r="A42" s="15" t="str">
        <x:v>YouTube</x:v>
      </x:c>
      <x:c r="B42" s="15" t="n">
        <x:v>11</x:v>
      </x:c>
      <x:c r="C42" s="18" t="n">
        <x:v>1100000</x:v>
      </x:c>
      <x:c r="D42" s="15" t="str">
        <x:v>1.1M</x:v>
      </x:c>
      <x:c r="E42" s="15" t="str">
        <x:v>Final Cut Pro Tutorial: Complete Beginners Guide to Editing</x:v>
      </x:c>
      <x:c r="F42" s="15" t="str">
        <x:v>Final Cut Pro</x:v>
      </x:c>
      <x:c r="G42" s="15" t="str">
        <x:v>Apple</x:v>
      </x:c>
      <x:c r="H42" s="15" t="str">
        <x:v>Professional/Desktop</x:v>
      </x:c>
      <x:c r="I42" s="15" t="n">
        <x:v>0</x:v>
      </x:c>
      <x:c r="J42" s="15" t="n">
        <x:v>0</x:v>
      </x:c>
      <x:c r="K42" s="15" t="n">
        <x:v>0</x:v>
      </x:c>
      <x:c r="L42" s="15" t="n">
        <x:v>0</x:v>
      </x:c>
      <x:c r="M42" s="15" t="n">
        <x:v>0</x:v>
      </x:c>
      <x:c r="N42" s="15" t="n">
        <x:v>0</x:v>
      </x:c>
      <x:c r="O42" s="15" t="n">
        <x:v>1</x:v>
      </x:c>
      <x:c r="P42" s="15" t="str"/>
      <x:c r="Q42" s="15" t="str">
        <x:v>beginner video editing tutorial full course</x:v>
      </x:c>
      <x:c r="R42" s="15" t="str">
        <x:v>https://www.youtube.com/watch?v=MotoguQBDHY</x:v>
      </x:c>
      <x:c r="S42" s="15" t="str">
        <x:v>https://www.youtube.com/watch?v=MotoguQBDHY</x:v>
      </x:c>
      <x:c r="T42" s="15" t="str">
        <x:v>YouTube公开计数</x:v>
      </x:c>
      <x:c r="U42" s="15" t="str">
        <x:v>高</x:v>
      </x:c>
      <x:c r="V42" s="15" t="str">
        <x:v>公开索引显示1.1M。</x:v>
      </x:c>
    </x:row>
    <x:row r="43">
      <x:c r="A43" s="15" t="str">
        <x:v>YouTube</x:v>
      </x:c>
      <x:c r="B43" s="15" t="n">
        <x:v>12</x:v>
      </x:c>
      <x:c r="C43" s="18" t="n">
        <x:v>1100000</x:v>
      </x:c>
      <x:c r="D43" s="15" t="str">
        <x:v>1.1M</x:v>
      </x:c>
      <x:c r="E43" s="15" t="str">
        <x:v>FINAL CUT PRO - Beginner Tutorial</x:v>
      </x:c>
      <x:c r="F43" s="15" t="str">
        <x:v>Final Cut Pro</x:v>
      </x:c>
      <x:c r="G43" s="15" t="str">
        <x:v>Apple</x:v>
      </x:c>
      <x:c r="H43" s="15" t="str">
        <x:v>Professional/Desktop</x:v>
      </x:c>
      <x:c r="I43" s="15" t="n">
        <x:v>0</x:v>
      </x:c>
      <x:c r="J43" s="15" t="n">
        <x:v>0</x:v>
      </x:c>
      <x:c r="K43" s="15" t="n">
        <x:v>0</x:v>
      </x:c>
      <x:c r="L43" s="15" t="n">
        <x:v>0</x:v>
      </x:c>
      <x:c r="M43" s="15" t="n">
        <x:v>0</x:v>
      </x:c>
      <x:c r="N43" s="15" t="n">
        <x:v>0</x:v>
      </x:c>
      <x:c r="O43" s="15" t="n">
        <x:v>1</x:v>
      </x:c>
      <x:c r="P43" s="15" t="str"/>
      <x:c r="Q43" s="15" t="str">
        <x:v>beginner video editing tutorial full course</x:v>
      </x:c>
      <x:c r="R43" s="15" t="str">
        <x:v>https://www.youtube.com/watch?v=hNWLw0hiX5Y</x:v>
      </x:c>
      <x:c r="S43" s="15" t="str">
        <x:v>https://www.youtube.com/watch?v=hNWLw0hiX5Y</x:v>
      </x:c>
      <x:c r="T43" s="15" t="str">
        <x:v>YouTube公开计数</x:v>
      </x:c>
      <x:c r="U43" s="15" t="str">
        <x:v>高</x:v>
      </x:c>
      <x:c r="V43" s="15" t="str">
        <x:v>公开索引显示1.1M。</x:v>
      </x:c>
    </x:row>
    <x:row r="44">
      <x:c r="A44" s="15" t="str">
        <x:v>YouTube</x:v>
      </x:c>
      <x:c r="B44" s="15" t="n">
        <x:v>13</x:v>
      </x:c>
      <x:c r="C44" s="18" t="n">
        <x:v>1000000</x:v>
      </x:c>
      <x:c r="D44" s="15" t="str">
        <x:v>1.0M</x:v>
      </x:c>
      <x:c r="E44" s="15" t="str">
        <x:v>FULL Guide to Video Editing (4+ Hours)</x:v>
      </x:c>
      <x:c r="F44" s="15" t="str">
        <x:v>Software-agnostic</x:v>
      </x:c>
      <x:c r="G44" s="15" t="str">
        <x:v>None</x:v>
      </x:c>
      <x:c r="H44" s="15" t="str">
        <x:v>Software-agnostic</x:v>
      </x:c>
      <x:c r="I44" s="15" t="n">
        <x:v>0</x:v>
      </x:c>
      <x:c r="J44" s="15" t="n">
        <x:v>0</x:v>
      </x:c>
      <x:c r="K44" s="15" t="n">
        <x:v>0</x:v>
      </x:c>
      <x:c r="L44" s="15" t="n">
        <x:v>0</x:v>
      </x:c>
      <x:c r="M44" s="15" t="n">
        <x:v>0</x:v>
      </x:c>
      <x:c r="N44" s="15" t="n">
        <x:v>0</x:v>
      </x:c>
      <x:c r="O44" s="15" t="n">
        <x:v>0</x:v>
      </x:c>
      <x:c r="P44" s="15" t="str"/>
      <x:c r="Q44" s="15" t="str">
        <x:v>beginner video editing tutorial full course</x:v>
      </x:c>
      <x:c r="R44" s="15" t="str">
        <x:v>https://www.youtube.com/results?search_query=FULL+Guide+to+Video+Editing+4%2B+Hours+Film+Editing+Pro</x:v>
      </x:c>
      <x:c r="S44" s="15" t="str">
        <x:v>https://www.youtube.com/results?search_query=FULL+Guide+to+Video+Editing+4%2B+Hours+Film+Editing+Pro</x:v>
      </x:c>
      <x:c r="T44" s="15" t="str">
        <x:v>YouTube搜索公开计数</x:v>
      </x:c>
      <x:c r="U44" s="15" t="str">
        <x:v>中</x:v>
      </x:c>
      <x:c r="V44" s="15" t="str">
        <x:v>软件未充分验证，保守编码为Software-agnostic。</x:v>
      </x:c>
    </x:row>
    <x:row r="45">
      <x:c r="A45" s="15" t="str">
        <x:v>YouTube</x:v>
      </x:c>
      <x:c r="B45" s="15" t="n">
        <x:v>14</x:v>
      </x:c>
      <x:c r="C45" s="18" t="n">
        <x:v>975000</x:v>
      </x:c>
      <x:c r="D45" s="15" t="str">
        <x:v>975K</x:v>
      </x:c>
      <x:c r="E45" s="15" t="str">
        <x:v>CapCut Video Editing Tutorial for Beginners (Full Course 2026)</x:v>
      </x:c>
      <x:c r="F45" s="15" t="str">
        <x:v>CapCut</x:v>
      </x:c>
      <x:c r="G45" s="15" t="str">
        <x:v>ByteDance</x:v>
      </x:c>
      <x:c r="H45" s="15" t="str">
        <x:v>Consumer/Mobile/Web</x:v>
      </x:c>
      <x:c r="I45" s="15" t="n">
        <x:v>0</x:v>
      </x:c>
      <x:c r="J45" s="15" t="n">
        <x:v>0</x:v>
      </x:c>
      <x:c r="K45" s="15" t="n">
        <x:v>0</x:v>
      </x:c>
      <x:c r="L45" s="15" t="n">
        <x:v>0</x:v>
      </x:c>
      <x:c r="M45" s="15" t="n">
        <x:v>1</x:v>
      </x:c>
      <x:c r="N45" s="15" t="n">
        <x:v>0</x:v>
      </x:c>
      <x:c r="O45" s="15" t="n">
        <x:v>1</x:v>
      </x:c>
      <x:c r="P45" s="15" t="str"/>
      <x:c r="Q45" s="15" t="str">
        <x:v>beginner video editing tutorial full course</x:v>
      </x:c>
      <x:c r="R45" s="15" t="str">
        <x:v>https://www.youtube.com/results?search_query=CapCut+Video+Editing+Tutorial+for+Beginners+Full+Course+2026+TaiTech</x:v>
      </x:c>
      <x:c r="S45" s="15" t="str">
        <x:v>https://www.youtube.com/results?search_query=CapCut+Video+Editing+Tutorial+for+Beginners+Full+Course+2026+TaiTech</x:v>
      </x:c>
      <x:c r="T45" s="15" t="str">
        <x:v>YouTube搜索公开计数</x:v>
      </x:c>
      <x:c r="U45" s="15" t="str">
        <x:v>中</x:v>
      </x:c>
      <x:c r="V45" s="15" t="str">
        <x:v>约975K。</x:v>
      </x:c>
    </x:row>
    <x:row r="46">
      <x:c r="A46" s="15" t="str">
        <x:v>YouTube</x:v>
      </x:c>
      <x:c r="B46" s="15" t="n">
        <x:v>15</x:v>
      </x:c>
      <x:c r="C46" s="18" t="n">
        <x:v>725000</x:v>
      </x:c>
      <x:c r="D46" s="15" t="str">
        <x:v>725K</x:v>
      </x:c>
      <x:c r="E46" s="15" t="str">
        <x:v>Kinemaster Free Course | Step-by-Step Video Editing Tutorial</x:v>
      </x:c>
      <x:c r="F46" s="15" t="str">
        <x:v>KineMaster</x:v>
      </x:c>
      <x:c r="G46" s="15" t="str">
        <x:v>KineMaster</x:v>
      </x:c>
      <x:c r="H46" s="15" t="str">
        <x:v>Consumer/Mobile/Web</x:v>
      </x:c>
      <x:c r="I46" s="15" t="n">
        <x:v>0</x:v>
      </x:c>
      <x:c r="J46" s="15" t="n">
        <x:v>0</x:v>
      </x:c>
      <x:c r="K46" s="15" t="n">
        <x:v>0</x:v>
      </x:c>
      <x:c r="L46" s="15" t="n">
        <x:v>0</x:v>
      </x:c>
      <x:c r="M46" s="15" t="n">
        <x:v>0</x:v>
      </x:c>
      <x:c r="N46" s="15" t="n">
        <x:v>0</x:v>
      </x:c>
      <x:c r="O46" s="15" t="n">
        <x:v>1</x:v>
      </x:c>
      <x:c r="P46" s="15" t="str"/>
      <x:c r="Q46" s="15" t="str">
        <x:v>beginner video editing tutorial full course</x:v>
      </x:c>
      <x:c r="R46" s="15" t="str">
        <x:v>https://www.youtube.com/results?search_query=Kinemaster+Free+Course+Step-by-Step+Video+Editing+Tutorial</x:v>
      </x:c>
      <x:c r="S46" s="15" t="str">
        <x:v>https://www.youtube.com/results?search_query=Kinemaster+Free+Course+Step-by-Step+Video+Editing+Tutorial</x:v>
      </x:c>
      <x:c r="T46" s="15" t="str">
        <x:v>YouTube搜索公开计数</x:v>
      </x:c>
      <x:c r="U46" s="15" t="str">
        <x:v>中</x:v>
      </x:c>
      <x:c r="V46" s="15" t="str">
        <x:v>约725K。</x:v>
      </x:c>
    </x:row>
    <x:row r="47">
      <x:c r="A47" s="15" t="str">
        <x:v>YouTube</x:v>
      </x:c>
      <x:c r="B47" s="15" t="n">
        <x:v>16</x:v>
      </x:c>
      <x:c r="C47" s="18" t="n">
        <x:v>595000</x:v>
      </x:c>
      <x:c r="D47" s="15" t="str">
        <x:v>595K</x:v>
      </x:c>
      <x:c r="E47" s="15" t="str">
        <x:v>Full Video Editing Course for YouTube (4+ Hours)</x:v>
      </x:c>
      <x:c r="F47" s="15" t="str">
        <x:v>Software-agnostic</x:v>
      </x:c>
      <x:c r="G47" s="15" t="str">
        <x:v>None</x:v>
      </x:c>
      <x:c r="H47" s="15" t="str">
        <x:v>Software-agnostic</x:v>
      </x:c>
      <x:c r="I47" s="15" t="n">
        <x:v>0</x:v>
      </x:c>
      <x:c r="J47" s="15" t="n">
        <x:v>0</x:v>
      </x:c>
      <x:c r="K47" s="15" t="n">
        <x:v>0</x:v>
      </x:c>
      <x:c r="L47" s="15" t="n">
        <x:v>0</x:v>
      </x:c>
      <x:c r="M47" s="15" t="n">
        <x:v>0</x:v>
      </x:c>
      <x:c r="N47" s="15" t="n">
        <x:v>0</x:v>
      </x:c>
      <x:c r="O47" s="15" t="n">
        <x:v>0</x:v>
      </x:c>
      <x:c r="P47" s="15" t="str"/>
      <x:c r="Q47" s="15" t="str">
        <x:v>video editing tutorial beginners start to finish</x:v>
      </x:c>
      <x:c r="R47" s="15" t="str">
        <x:v>https://www.youtube.com/results?search_query=Full+Video+Editing+Course+for+YouTube+4%2B+Hours+Marcus+Jones</x:v>
      </x:c>
      <x:c r="S47" s="15" t="str">
        <x:v>https://www.youtube.com/results?search_query=Full+Video+Editing+Course+for+YouTube+4%2B+Hours+Marcus+Jones</x:v>
      </x:c>
      <x:c r="T47" s="15" t="str">
        <x:v>YouTube搜索公开计数</x:v>
      </x:c>
      <x:c r="U47" s="15" t="str">
        <x:v>中</x:v>
      </x:c>
      <x:c r="V47" s="15" t="str">
        <x:v>软件未充分验证。</x:v>
      </x:c>
    </x:row>
    <x:row r="48">
      <x:c r="A48" s="15" t="str">
        <x:v>YouTube</x:v>
      </x:c>
      <x:c r="B48" s="15" t="n">
        <x:v>17</x:v>
      </x:c>
      <x:c r="C48" s="18" t="n">
        <x:v>546000</x:v>
      </x:c>
      <x:c r="D48" s="15" t="str">
        <x:v>546K</x:v>
      </x:c>
      <x:c r="E48" s="15" t="str">
        <x:v>KineMaster Masterclass - Complete Video Editing Course</x:v>
      </x:c>
      <x:c r="F48" s="15" t="str">
        <x:v>KineMaster</x:v>
      </x:c>
      <x:c r="G48" s="15" t="str">
        <x:v>KineMaster</x:v>
      </x:c>
      <x:c r="H48" s="15" t="str">
        <x:v>Consumer/Mobile/Web</x:v>
      </x:c>
      <x:c r="I48" s="15" t="n">
        <x:v>0</x:v>
      </x:c>
      <x:c r="J48" s="15" t="n">
        <x:v>0</x:v>
      </x:c>
      <x:c r="K48" s="15" t="n">
        <x:v>0</x:v>
      </x:c>
      <x:c r="L48" s="15" t="n">
        <x:v>0</x:v>
      </x:c>
      <x:c r="M48" s="15" t="n">
        <x:v>0</x:v>
      </x:c>
      <x:c r="N48" s="15" t="n">
        <x:v>0</x:v>
      </x:c>
      <x:c r="O48" s="15" t="n">
        <x:v>1</x:v>
      </x:c>
      <x:c r="P48" s="15" t="str"/>
      <x:c r="Q48" s="15" t="str">
        <x:v>beginner video editing tutorial full course</x:v>
      </x:c>
      <x:c r="R48" s="15" t="str">
        <x:v>https://www.youtube.com/results?search_query=KineMaster+Masterclass+Complete+Video+Editing+Course</x:v>
      </x:c>
      <x:c r="S48" s="15" t="str">
        <x:v>https://www.youtube.com/results?search_query=KineMaster+Masterclass+Complete+Video+Editing+Course</x:v>
      </x:c>
      <x:c r="T48" s="15" t="str">
        <x:v>YouTube搜索公开计数</x:v>
      </x:c>
      <x:c r="U48" s="15" t="str">
        <x:v>中</x:v>
      </x:c>
      <x:c r="V48" s="15" t="str">
        <x:v>约546K。</x:v>
      </x:c>
    </x:row>
    <x:row r="49">
      <x:c r="A49" s="15" t="str">
        <x:v>YouTube</x:v>
      </x:c>
      <x:c r="B49" s="15" t="n">
        <x:v>18</x:v>
      </x:c>
      <x:c r="C49" s="18" t="n">
        <x:v>543000</x:v>
      </x:c>
      <x:c r="D49" s="15" t="str">
        <x:v>543K</x:v>
      </x:c>
      <x:c r="E49" s="15" t="str">
        <x:v>Learn Video Editing from Zero to Pro: Filmora 15 Full Course 2026</x:v>
      </x:c>
      <x:c r="F49" s="15" t="str">
        <x:v>Filmora</x:v>
      </x:c>
      <x:c r="G49" s="15" t="str">
        <x:v>Wondershare</x:v>
      </x:c>
      <x:c r="H49" s="15" t="str">
        <x:v>Creator/Desktop</x:v>
      </x:c>
      <x:c r="I49" s="15" t="n">
        <x:v>0</x:v>
      </x:c>
      <x:c r="J49" s="15" t="n">
        <x:v>0</x:v>
      </x:c>
      <x:c r="K49" s="15" t="n">
        <x:v>0</x:v>
      </x:c>
      <x:c r="L49" s="15" t="n">
        <x:v>0</x:v>
      </x:c>
      <x:c r="M49" s="15" t="n">
        <x:v>0</x:v>
      </x:c>
      <x:c r="N49" s="15" t="n">
        <x:v>0</x:v>
      </x:c>
      <x:c r="O49" s="15" t="n">
        <x:v>1</x:v>
      </x:c>
      <x:c r="P49" s="15" t="str"/>
      <x:c r="Q49" s="15" t="str">
        <x:v>beginner video editing tutorial full course</x:v>
      </x:c>
      <x:c r="R49" s="15" t="str">
        <x:v>https://www.youtube.com/results?search_query=Filmora+15+Full+Course+2026+Zero+to+Pro</x:v>
      </x:c>
      <x:c r="S49" s="15" t="str">
        <x:v>https://www.youtube.com/results?search_query=Filmora+15+Full+Course+2026+Zero+to+Pro</x:v>
      </x:c>
      <x:c r="T49" s="15" t="str">
        <x:v>YouTube搜索公开计数</x:v>
      </x:c>
      <x:c r="U49" s="15" t="str">
        <x:v>中</x:v>
      </x:c>
      <x:c r="V49" s="15" t="str">
        <x:v>约543K。</x:v>
      </x:c>
    </x:row>
    <x:row r="50">
      <x:c r="A50" s="15" t="str">
        <x:v>YouTube</x:v>
      </x:c>
      <x:c r="B50" s="15" t="n">
        <x:v>19</x:v>
      </x:c>
      <x:c r="C50" s="18" t="n">
        <x:v>489000</x:v>
      </x:c>
      <x:c r="D50" s="15" t="str">
        <x:v>489K</x:v>
      </x:c>
      <x:c r="E50" s="15" t="str">
        <x:v>How To Start Video Editing From Zero in 2026 - Basic To Advance Guide</x:v>
      </x:c>
      <x:c r="F50" s="15" t="str">
        <x:v>Software-agnostic</x:v>
      </x:c>
      <x:c r="G50" s="15" t="str">
        <x:v>None</x:v>
      </x:c>
      <x:c r="H50" s="15" t="str">
        <x:v>Software-agnostic</x:v>
      </x:c>
      <x:c r="I50" s="15" t="n">
        <x:v>0</x:v>
      </x:c>
      <x:c r="J50" s="15" t="n">
        <x:v>0</x:v>
      </x:c>
      <x:c r="K50" s="15" t="n">
        <x:v>0</x:v>
      </x:c>
      <x:c r="L50" s="15" t="n">
        <x:v>0</x:v>
      </x:c>
      <x:c r="M50" s="15" t="n">
        <x:v>0</x:v>
      </x:c>
      <x:c r="N50" s="15" t="n">
        <x:v>0</x:v>
      </x:c>
      <x:c r="O50" s="15" t="n">
        <x:v>0</x:v>
      </x:c>
      <x:c r="P50" s="15" t="str"/>
      <x:c r="Q50" s="15" t="str">
        <x:v>video editing tutorial beginners start to finish</x:v>
      </x:c>
      <x:c r="R50" s="15" t="str">
        <x:v>https://www.youtube.com/results?search_query=How+To+Start+Video+Editing+From+Zero+in+2026+Basic+To+Advance+Guide</x:v>
      </x:c>
      <x:c r="S50" s="15" t="str">
        <x:v>https://www.youtube.com/results?search_query=How+To+Start+Video+Editing+From+Zero+in+2026+Basic+To+Advance+Guide</x:v>
      </x:c>
      <x:c r="T50" s="15" t="str">
        <x:v>YouTube搜索公开计数</x:v>
      </x:c>
      <x:c r="U50" s="15" t="str">
        <x:v>中</x:v>
      </x:c>
      <x:c r="V50" s="15" t="str">
        <x:v>软件未充分验证。</x:v>
      </x:c>
    </x:row>
    <x:row r="51">
      <x:c r="A51" s="15" t="str">
        <x:v>YouTube</x:v>
      </x:c>
      <x:c r="B51" s="15" t="n">
        <x:v>20</x:v>
      </x:c>
      <x:c r="C51" s="18" t="n">
        <x:v>412000</x:v>
      </x:c>
      <x:c r="D51" s="15" t="str">
        <x:v>412K</x:v>
      </x:c>
      <x:c r="E51" s="15" t="str">
        <x:v>How to Edit Videos (COMPLETE Beginner's Guide to Video Editing!)</x:v>
      </x:c>
      <x:c r="F51" s="15" t="str">
        <x:v>Software-agnostic</x:v>
      </x:c>
      <x:c r="G51" s="15" t="str">
        <x:v>None</x:v>
      </x:c>
      <x:c r="H51" s="15" t="str">
        <x:v>Software-agnostic</x:v>
      </x:c>
      <x:c r="I51" s="15" t="n">
        <x:v>0</x:v>
      </x:c>
      <x:c r="J51" s="15" t="n">
        <x:v>0</x:v>
      </x:c>
      <x:c r="K51" s="15" t="n">
        <x:v>0</x:v>
      </x:c>
      <x:c r="L51" s="15" t="n">
        <x:v>0</x:v>
      </x:c>
      <x:c r="M51" s="15" t="n">
        <x:v>0</x:v>
      </x:c>
      <x:c r="N51" s="15" t="n">
        <x:v>0</x:v>
      </x:c>
      <x:c r="O51" s="15" t="n">
        <x:v>0</x:v>
      </x:c>
      <x:c r="P51" s="15" t="str"/>
      <x:c r="Q51" s="15" t="str">
        <x:v>video editing tutorial beginners start to finish</x:v>
      </x:c>
      <x:c r="R51" s="15" t="str">
        <x:v>https://www.youtube.com/watch?v=sTqEmGNtNqk</x:v>
      </x:c>
      <x:c r="S51" s="15" t="str">
        <x:v>https://www.youtube.com/watch?v=sTqEmGNtNqk</x:v>
      </x:c>
      <x:c r="T51" s="15" t="str">
        <x:v>YouTube公开索引/同日快照</x:v>
      </x:c>
      <x:c r="U51" s="15" t="str">
        <x:v>中</x:v>
      </x:c>
      <x:c r="V51" s="15" t="str">
        <x:v>教程是通用完整指南；当前证据不足以锁定主软件。</x:v>
      </x:c>
    </x:row>
    <x:row r="52">
      <x:c r="A52" s="15" t="str">
        <x:v>YouTube</x:v>
      </x:c>
      <x:c r="B52" s="15" t="n">
        <x:v>21</x:v>
      </x:c>
      <x:c r="C52" s="18" t="n">
        <x:v>397000</x:v>
      </x:c>
      <x:c r="D52" s="15" t="str">
        <x:v>397K</x:v>
      </x:c>
      <x:c r="E52" s="15" t="str">
        <x:v>CapCut Video Editing Tutorial for Beginners</x:v>
      </x:c>
      <x:c r="F52" s="15" t="str">
        <x:v>CapCut</x:v>
      </x:c>
      <x:c r="G52" s="15" t="str">
        <x:v>ByteDance</x:v>
      </x:c>
      <x:c r="H52" s="15" t="str">
        <x:v>Consumer/Mobile/Web</x:v>
      </x:c>
      <x:c r="I52" s="15" t="n">
        <x:v>0</x:v>
      </x:c>
      <x:c r="J52" s="15" t="n">
        <x:v>0</x:v>
      </x:c>
      <x:c r="K52" s="15" t="n">
        <x:v>0</x:v>
      </x:c>
      <x:c r="L52" s="15" t="n">
        <x:v>0</x:v>
      </x:c>
      <x:c r="M52" s="15" t="n">
        <x:v>1</x:v>
      </x:c>
      <x:c r="N52" s="15" t="n">
        <x:v>0</x:v>
      </x:c>
      <x:c r="O52" s="15" t="n">
        <x:v>1</x:v>
      </x:c>
      <x:c r="P52" s="15" t="str"/>
      <x:c r="Q52" s="15" t="str">
        <x:v>beginner video editing tutorial full course</x:v>
      </x:c>
      <x:c r="R52" s="15" t="str">
        <x:v>https://www.youtube.com/results?search_query=Kevin+Stratvert+CapCut+Video+Editing+Tutorial+for+Beginners</x:v>
      </x:c>
      <x:c r="S52" s="15" t="str">
        <x:v>https://www.youtube.com/results?search_query=CapCut+Video+Editing+Tutorial+for+Beginners+Kevin+Stratvert</x:v>
      </x:c>
      <x:c r="T52" s="15" t="str">
        <x:v>YouTube搜索公开计数</x:v>
      </x:c>
      <x:c r="U52" s="15" t="str">
        <x:v>中</x:v>
      </x:c>
      <x:c r="V52" s="15" t="str">
        <x:v>约397K。</x:v>
      </x:c>
    </x:row>
    <x:row r="53">
      <x:c r="A53" s="15" t="str">
        <x:v>YouTube</x:v>
      </x:c>
      <x:c r="B53" s="15" t="n">
        <x:v>22</x:v>
      </x:c>
      <x:c r="C53" s="18" t="n">
        <x:v>269000</x:v>
      </x:c>
      <x:c r="D53" s="15" t="str">
        <x:v>269K</x:v>
      </x:c>
      <x:c r="E53" s="15" t="str">
        <x:v>How to Use Adobe Express for Video Editing (Full Guide)</x:v>
      </x:c>
      <x:c r="F53" s="15" t="str">
        <x:v>Adobe Express</x:v>
      </x:c>
      <x:c r="G53" s="15" t="str">
        <x:v>Adobe</x:v>
      </x:c>
      <x:c r="H53" s="15" t="str">
        <x:v>Consumer/Mobile/Web</x:v>
      </x:c>
      <x:c r="I53" s="15" t="n">
        <x:v>0</x:v>
      </x:c>
      <x:c r="J53" s="15" t="n">
        <x:v>0</x:v>
      </x:c>
      <x:c r="K53" s="15" t="n">
        <x:v>0</x:v>
      </x:c>
      <x:c r="L53" s="15" t="n">
        <x:v>1</x:v>
      </x:c>
      <x:c r="M53" s="15" t="n">
        <x:v>0</x:v>
      </x:c>
      <x:c r="N53" s="15" t="n">
        <x:v>0</x:v>
      </x:c>
      <x:c r="O53" s="15" t="n">
        <x:v>1</x:v>
      </x:c>
      <x:c r="P53" s="15" t="str"/>
      <x:c r="Q53" s="15" t="str">
        <x:v>beginner video editing tutorial full course</x:v>
      </x:c>
      <x:c r="R53" s="15" t="str">
        <x:v>https://www.youtube.com/results?search_query=How+to+Use+Adobe+Express+for+Video+Editing+Full+Guide</x:v>
      </x:c>
      <x:c r="S53" s="15" t="str">
        <x:v>https://www.youtube.com/results?search_query=Adobe+Express+Video+Editing+Full+Guide</x:v>
      </x:c>
      <x:c r="T53" s="15" t="str">
        <x:v>YouTube搜索公开计数</x:v>
      </x:c>
      <x:c r="U53" s="15" t="str">
        <x:v>中</x:v>
      </x:c>
      <x:c r="V53" s="15" t="str">
        <x:v>Adobe产品但不计入Professional NLE。</x:v>
      </x:c>
    </x:row>
    <x:row r="54">
      <x:c r="A54" s="15" t="str">
        <x:v>YouTube</x:v>
      </x:c>
      <x:c r="B54" s="15" t="n">
        <x:v>23</x:v>
      </x:c>
      <x:c r="C54" s="18" t="n">
        <x:v>216000</x:v>
      </x:c>
      <x:c r="D54" s="15" t="str">
        <x:v>216K</x:v>
      </x:c>
      <x:c r="E54" s="15" t="str">
        <x:v>Microsoft Clipchamp Tutorial for Beginners (The COMPLETE Guide)</x:v>
      </x:c>
      <x:c r="F54" s="15" t="str">
        <x:v>Clipchamp</x:v>
      </x:c>
      <x:c r="G54" s="15" t="str">
        <x:v>Microsoft</x:v>
      </x:c>
      <x:c r="H54" s="15" t="str">
        <x:v>Consumer/Mobile/Web</x:v>
      </x:c>
      <x:c r="I54" s="15" t="n">
        <x:v>0</x:v>
      </x:c>
      <x:c r="J54" s="15" t="n">
        <x:v>0</x:v>
      </x:c>
      <x:c r="K54" s="15" t="n">
        <x:v>0</x:v>
      </x:c>
      <x:c r="L54" s="15" t="n">
        <x:v>0</x:v>
      </x:c>
      <x:c r="M54" s="15" t="n">
        <x:v>0</x:v>
      </x:c>
      <x:c r="N54" s="15" t="n">
        <x:v>0</x:v>
      </x:c>
      <x:c r="O54" s="15" t="n">
        <x:v>1</x:v>
      </x:c>
      <x:c r="P54" s="15" t="str"/>
      <x:c r="Q54" s="15" t="str">
        <x:v>beginner video editing tutorial full course</x:v>
      </x:c>
      <x:c r="R54" s="15" t="str">
        <x:v>https://www.youtube.com/results?search_query=Microsoft+Clipchamp+Tutorial+for+Beginners+Complete+Guide+Justin+Brown</x:v>
      </x:c>
      <x:c r="S54" s="15" t="str">
        <x:v>https://www.youtube.com/results?search_query=Microsoft+Clipchamp+Tutorial+for+Beginners+Complete+Guide</x:v>
      </x:c>
      <x:c r="T54" s="15" t="str">
        <x:v>YouTube搜索公开计数</x:v>
      </x:c>
      <x:c r="U54" s="15" t="str">
        <x:v>中</x:v>
      </x:c>
      <x:c r="V54" s="15" t="str">
        <x:v>约216K。</x:v>
      </x:c>
    </x:row>
    <x:row r="55">
      <x:c r="A55" s="15" t="str">
        <x:v>YouTube</x:v>
      </x:c>
      <x:c r="B55" s="15" t="n">
        <x:v>24</x:v>
      </x:c>
      <x:c r="C55" s="18" t="n">
        <x:v>181000</x:v>
      </x:c>
      <x:c r="D55" s="15" t="str">
        <x:v>181K</x:v>
      </x:c>
      <x:c r="E55" s="15" t="str">
        <x:v>CapCut MASTERCLASS - Complete Beginner to Advanced Tutorial</x:v>
      </x:c>
      <x:c r="F55" s="15" t="str">
        <x:v>CapCut</x:v>
      </x:c>
      <x:c r="G55" s="15" t="str">
        <x:v>ByteDance</x:v>
      </x:c>
      <x:c r="H55" s="15" t="str">
        <x:v>Consumer/Mobile/Web</x:v>
      </x:c>
      <x:c r="I55" s="15" t="n">
        <x:v>0</x:v>
      </x:c>
      <x:c r="J55" s="15" t="n">
        <x:v>0</x:v>
      </x:c>
      <x:c r="K55" s="15" t="n">
        <x:v>0</x:v>
      </x:c>
      <x:c r="L55" s="15" t="n">
        <x:v>0</x:v>
      </x:c>
      <x:c r="M55" s="15" t="n">
        <x:v>1</x:v>
      </x:c>
      <x:c r="N55" s="15" t="n">
        <x:v>0</x:v>
      </x:c>
      <x:c r="O55" s="15" t="n">
        <x:v>1</x:v>
      </x:c>
      <x:c r="P55" s="15" t="str"/>
      <x:c r="Q55" s="15" t="str">
        <x:v>beginner video editing tutorial full course</x:v>
      </x:c>
      <x:c r="R55" s="15" t="str">
        <x:v>https://www.youtube.com/results?search_query=CapCut+MASTERCLASS+Complete+Beginner+Advanced+Tutorial</x:v>
      </x:c>
      <x:c r="S55" s="15" t="str">
        <x:v>https://www.youtube.com/results?search_query=CapCut+MASTERCLASS+video+editing</x:v>
      </x:c>
      <x:c r="T55" s="15" t="str">
        <x:v>YouTube搜索公开计数</x:v>
      </x:c>
      <x:c r="U55" s="15" t="str">
        <x:v>中</x:v>
      </x:c>
      <x:c r="V55" s="15" t="str">
        <x:v>约181K。</x:v>
      </x:c>
    </x:row>
    <x:row r="56">
      <x:c r="A56" s="15" t="str">
        <x:v>YouTube</x:v>
      </x:c>
      <x:c r="B56" s="15" t="n">
        <x:v>25</x:v>
      </x:c>
      <x:c r="C56" s="18" t="n">
        <x:v>133000</x:v>
      </x:c>
      <x:c r="D56" s="15" t="str">
        <x:v>133K</x:v>
      </x:c>
      <x:c r="E56" s="15" t="str">
        <x:v>KineMaster Video Editing Tutorial for Beginners</x:v>
      </x:c>
      <x:c r="F56" s="15" t="str">
        <x:v>KineMaster</x:v>
      </x:c>
      <x:c r="G56" s="15" t="str">
        <x:v>KineMaster</x:v>
      </x:c>
      <x:c r="H56" s="15" t="str">
        <x:v>Consumer/Mobile/Web</x:v>
      </x:c>
      <x:c r="I56" s="15" t="n">
        <x:v>0</x:v>
      </x:c>
      <x:c r="J56" s="15" t="n">
        <x:v>0</x:v>
      </x:c>
      <x:c r="K56" s="15" t="n">
        <x:v>0</x:v>
      </x:c>
      <x:c r="L56" s="15" t="n">
        <x:v>0</x:v>
      </x:c>
      <x:c r="M56" s="15" t="n">
        <x:v>0</x:v>
      </x:c>
      <x:c r="N56" s="15" t="n">
        <x:v>0</x:v>
      </x:c>
      <x:c r="O56" s="15" t="n">
        <x:v>1</x:v>
      </x:c>
      <x:c r="P56" s="15" t="str"/>
      <x:c r="Q56" s="15" t="str">
        <x:v>beginner video editing tutorial full course</x:v>
      </x:c>
      <x:c r="R56" s="15" t="str">
        <x:v>https://www.youtube.com/results?search_query=KineMaster+Video+Editing+Tutorial+for+Beginners+Primal+Video</x:v>
      </x:c>
      <x:c r="S56" s="15" t="str">
        <x:v>https://www.youtube.com/results?search_query=KineMaster+Tutorial+Primal+Video</x:v>
      </x:c>
      <x:c r="T56" s="15" t="str">
        <x:v>YouTube搜索公开计数</x:v>
      </x:c>
      <x:c r="U56" s="15" t="str">
        <x:v>中</x:v>
      </x:c>
      <x:c r="V56" s="15" t="str">
        <x:v>约133K。</x:v>
      </x:c>
    </x:row>
    <x:row r="57">
      <x:c r="A57" s="15" t="str">
        <x:v>YouTube</x:v>
      </x:c>
      <x:c r="B57" s="15" t="n">
        <x:v>26</x:v>
      </x:c>
      <x:c r="C57" s="18" t="n">
        <x:v>122000</x:v>
      </x:c>
      <x:c r="D57" s="15" t="str">
        <x:v>122K</x:v>
      </x:c>
      <x:c r="E57" s="15" t="str">
        <x:v>Premiere Rush VIDEO EDITING Tutorial for Beginners</x:v>
      </x:c>
      <x:c r="F57" s="15" t="str">
        <x:v>Premiere Rush</x:v>
      </x:c>
      <x:c r="G57" s="15" t="str">
        <x:v>Adobe</x:v>
      </x:c>
      <x:c r="H57" s="15" t="str">
        <x:v>Consumer/Mobile/Web</x:v>
      </x:c>
      <x:c r="I57" s="15" t="n">
        <x:v>0</x:v>
      </x:c>
      <x:c r="J57" s="15" t="n">
        <x:v>0</x:v>
      </x:c>
      <x:c r="K57" s="15" t="n">
        <x:v>1</x:v>
      </x:c>
      <x:c r="L57" s="15" t="n">
        <x:v>1</x:v>
      </x:c>
      <x:c r="M57" s="15" t="n">
        <x:v>0</x:v>
      </x:c>
      <x:c r="N57" s="15" t="n">
        <x:v>0</x:v>
      </x:c>
      <x:c r="O57" s="15" t="n">
        <x:v>1</x:v>
      </x:c>
      <x:c r="P57" s="15" t="str"/>
      <x:c r="Q57" s="15" t="str">
        <x:v>beginner video editing tutorial full course</x:v>
      </x:c>
      <x:c r="R57" s="15" t="str">
        <x:v>https://www.youtube.com/results?search_query=Premiere+Rush+VIDEO+EDITING+Tutorial+for+Beginners+Howfinity</x:v>
      </x:c>
      <x:c r="S57" s="15" t="str">
        <x:v>https://www.youtube.com/results?search_query=Premiere+Rush+Tutorial+Howfinity</x:v>
      </x:c>
      <x:c r="T57" s="15" t="str">
        <x:v>YouTube搜索公开计数</x:v>
      </x:c>
      <x:c r="U57" s="15" t="str">
        <x:v>中</x:v>
      </x:c>
      <x:c r="V57" s="15" t="str">
        <x:v>Adobe轻量视频编辑器。</x:v>
      </x:c>
    </x:row>
    <x:row r="58">
      <x:c r="A58" s="15" t="str">
        <x:v>YouTube</x:v>
      </x:c>
      <x:c r="B58" s="15" t="n">
        <x:v>27</x:v>
      </x:c>
      <x:c r="C58" s="18" t="n">
        <x:v>65000</x:v>
      </x:c>
      <x:c r="D58" s="15" t="str">
        <x:v>65K</x:v>
      </x:c>
      <x:c r="E58" s="15" t="str">
        <x:v>How to Master Clipchamp in under 15 Minutes</x:v>
      </x:c>
      <x:c r="F58" s="15" t="str">
        <x:v>Clipchamp</x:v>
      </x:c>
      <x:c r="G58" s="15" t="str">
        <x:v>Microsoft</x:v>
      </x:c>
      <x:c r="H58" s="15" t="str">
        <x:v>Consumer/Mobile/Web</x:v>
      </x:c>
      <x:c r="I58" s="15" t="n">
        <x:v>0</x:v>
      </x:c>
      <x:c r="J58" s="15" t="n">
        <x:v>0</x:v>
      </x:c>
      <x:c r="K58" s="15" t="n">
        <x:v>0</x:v>
      </x:c>
      <x:c r="L58" s="15" t="n">
        <x:v>0</x:v>
      </x:c>
      <x:c r="M58" s="15" t="n">
        <x:v>0</x:v>
      </x:c>
      <x:c r="N58" s="15" t="n">
        <x:v>0</x:v>
      </x:c>
      <x:c r="O58" s="15" t="n">
        <x:v>1</x:v>
      </x:c>
      <x:c r="P58" s="15" t="str"/>
      <x:c r="Q58" s="15" t="str">
        <x:v>beginner video editing tutorial full course</x:v>
      </x:c>
      <x:c r="R58" s="15" t="str">
        <x:v>https://www.youtube.com/results?search_query=How+to+Master+Clipchamp+in+under+15+Minutes+Microsoft+ExpertZone</x:v>
      </x:c>
      <x:c r="S58" s="15" t="str">
        <x:v>https://www.youtube.com/results?search_query=Master+Clipchamp+15+Minutes</x:v>
      </x:c>
      <x:c r="T58" s="15" t="str">
        <x:v>YouTube搜索公开计数</x:v>
      </x:c>
      <x:c r="U58" s="15" t="str">
        <x:v>中</x:v>
      </x:c>
      <x:c r="V58" s="15" t="str">
        <x:v>约65K。</x:v>
      </x:c>
    </x:row>
    <x:row r="59">
      <x:c r="A59" s="15" t="str">
        <x:v>YouTube</x:v>
      </x:c>
      <x:c r="B59" s="15" t="n">
        <x:v>28</x:v>
      </x:c>
      <x:c r="C59" s="18" t="n">
        <x:v>64000</x:v>
      </x:c>
      <x:c r="D59" s="15" t="str">
        <x:v>64K</x:v>
      </x:c>
      <x:c r="E59" s="15" t="str">
        <x:v>Complete Descript Tutorial 2026: Zero to Expert</x:v>
      </x:c>
      <x:c r="F59" s="15" t="str">
        <x:v>Descript</x:v>
      </x:c>
      <x:c r="G59" s="15" t="str">
        <x:v>Descript</x:v>
      </x:c>
      <x:c r="H59" s="15" t="str">
        <x:v>Consumer/Mobile/Web</x:v>
      </x:c>
      <x:c r="I59" s="15" t="n">
        <x:v>0</x:v>
      </x:c>
      <x:c r="J59" s="15" t="n">
        <x:v>0</x:v>
      </x:c>
      <x:c r="K59" s="15" t="n">
        <x:v>0</x:v>
      </x:c>
      <x:c r="L59" s="15" t="n">
        <x:v>0</x:v>
      </x:c>
      <x:c r="M59" s="15" t="n">
        <x:v>0</x:v>
      </x:c>
      <x:c r="N59" s="15" t="n">
        <x:v>0</x:v>
      </x:c>
      <x:c r="O59" s="15" t="n">
        <x:v>1</x:v>
      </x:c>
      <x:c r="P59" s="15" t="str"/>
      <x:c r="Q59" s="15" t="str">
        <x:v>beginner video editing tutorial full course</x:v>
      </x:c>
      <x:c r="R59" s="15" t="str">
        <x:v>https://www.youtube.com/results?search_query=Complete+Descript+Tutorial+2026+Zero+to+Expert</x:v>
      </x:c>
      <x:c r="S59" s="15" t="str">
        <x:v>https://www.youtube.com/results?search_query=Complete+Descript+Tutorial+2026</x:v>
      </x:c>
      <x:c r="T59" s="15" t="str">
        <x:v>YouTube搜索/推荐公开计数</x:v>
      </x:c>
      <x:c r="U59" s="15" t="str">
        <x:v>中</x:v>
      </x:c>
      <x:c r="V59" s="15" t="str">
        <x:v>约64K。</x:v>
      </x:c>
    </x:row>
    <x:row r="60">
      <x:c r="A60" s="15" t="str">
        <x:v>YouTube</x:v>
      </x:c>
      <x:c r="B60" s="15" t="n">
        <x:v>29</x:v>
      </x:c>
      <x:c r="C60" s="18" t="n">
        <x:v>33000</x:v>
      </x:c>
      <x:c r="D60" s="15" t="str">
        <x:v>33K</x:v>
      </x:c>
      <x:c r="E60" s="15" t="str">
        <x:v>Canva Video Editor - Complete Tutorial For Beginners</x:v>
      </x:c>
      <x:c r="F60" s="15" t="str">
        <x:v>Canva</x:v>
      </x:c>
      <x:c r="G60" s="15" t="str">
        <x:v>Canva</x:v>
      </x:c>
      <x:c r="H60" s="15" t="str">
        <x:v>Consumer/Mobile/Web</x:v>
      </x:c>
      <x:c r="I60" s="15" t="n">
        <x:v>0</x:v>
      </x:c>
      <x:c r="J60" s="15" t="n">
        <x:v>0</x:v>
      </x:c>
      <x:c r="K60" s="15" t="n">
        <x:v>0</x:v>
      </x:c>
      <x:c r="L60" s="15" t="n">
        <x:v>0</x:v>
      </x:c>
      <x:c r="M60" s="15" t="n">
        <x:v>0</x:v>
      </x:c>
      <x:c r="N60" s="15" t="n">
        <x:v>0</x:v>
      </x:c>
      <x:c r="O60" s="15" t="n">
        <x:v>1</x:v>
      </x:c>
      <x:c r="P60" s="15" t="str"/>
      <x:c r="Q60" s="15" t="str">
        <x:v>beginner video editing tutorial full course</x:v>
      </x:c>
      <x:c r="R60" s="15" t="str">
        <x:v>https://www.youtube.com/results?search_query=Canva+Video+Editor+Complete+Tutorial+For+Beginners</x:v>
      </x:c>
      <x:c r="S60" s="15" t="str">
        <x:v>https://www.youtube.com/results?search_query=Canva+Video+Editor+Complete+Tutorial+For+Beginners</x:v>
      </x:c>
      <x:c r="T60" s="15" t="str">
        <x:v>YouTube搜索公开计数</x:v>
      </x:c>
      <x:c r="U60" s="15" t="str">
        <x:v>中</x:v>
      </x:c>
      <x:c r="V60" s="15" t="str">
        <x:v>约33K。</x:v>
      </x:c>
    </x:row>
    <x:row r="61">
      <x:c r="A61" s="15" t="str">
        <x:v>YouTube</x:v>
      </x:c>
      <x:c r="B61" s="15" t="n">
        <x:v>30</x:v>
      </x:c>
      <x:c r="C61" s="18" t="n">
        <x:v>4400</x:v>
      </x:c>
      <x:c r="D61" s="15" t="str">
        <x:v>4.4K</x:v>
      </x:c>
      <x:c r="E61" s="15" t="str">
        <x:v>Step by Step Adobe Express Video Editing Tutorial</x:v>
      </x:c>
      <x:c r="F61" s="15" t="str">
        <x:v>Adobe Express</x:v>
      </x:c>
      <x:c r="G61" s="15" t="str">
        <x:v>Adobe</x:v>
      </x:c>
      <x:c r="H61" s="15" t="str">
        <x:v>Consumer/Mobile/Web</x:v>
      </x:c>
      <x:c r="I61" s="15" t="n">
        <x:v>0</x:v>
      </x:c>
      <x:c r="J61" s="15" t="n">
        <x:v>0</x:v>
      </x:c>
      <x:c r="K61" s="15" t="n">
        <x:v>0</x:v>
      </x:c>
      <x:c r="L61" s="15" t="n">
        <x:v>1</x:v>
      </x:c>
      <x:c r="M61" s="15" t="n">
        <x:v>0</x:v>
      </x:c>
      <x:c r="N61" s="15" t="n">
        <x:v>0</x:v>
      </x:c>
      <x:c r="O61" s="15" t="n">
        <x:v>1</x:v>
      </x:c>
      <x:c r="P61" s="15" t="str"/>
      <x:c r="Q61" s="15" t="str">
        <x:v>beginner video editing tutorial full course</x:v>
      </x:c>
      <x:c r="R61" s="15" t="str">
        <x:v>https://www.youtube.com/results?search_query=Step+by+Step+Adobe+Express+Video+Editing+Tutorial</x:v>
      </x:c>
      <x:c r="S61" s="15" t="str">
        <x:v>https://www.youtube.com/results?search_query=Adobe+Express+Video+Editing+Tutorial</x:v>
      </x:c>
      <x:c r="T61" s="15" t="str">
        <x:v>YouTube搜索公开计数</x:v>
      </x:c>
      <x:c r="U61" s="15" t="str">
        <x:v>中</x:v>
      </x:c>
      <x:c r="V61" s="15" t="str">
        <x:v>约4.4K。</x:v>
      </x:c>
    </x:row>
  </x:sheetData>
  <x:conditionalFormatting sqref="I2:I61">
    <x:cfRule type="cellIs" dxfId="9" priority="1">
      <x:formula>1</x:formula>
    </x:cfRule>
  </x:conditionalFormatting>
  <x:conditionalFormatting sqref="J2:J61">
    <x:cfRule type="cellIs" dxfId="10" priority="2">
      <x:formula>1</x:formula>
    </x:cfRule>
  </x:conditionalFormatting>
  <x:conditionalFormatting sqref="K2:K61">
    <x:cfRule type="cellIs" dxfId="11" priority="3">
      <x:formula>1</x:formula>
    </x:cfRule>
  </x:conditionalFormatting>
  <x:conditionalFormatting sqref="L2:L61">
    <x:cfRule type="cellIs" dxfId="12" priority="4">
      <x:formula>1</x:formula>
    </x:cfRule>
  </x:conditionalFormatting>
  <x:conditionalFormatting sqref="M2:M61">
    <x:cfRule type="cellIs" dxfId="13" priority="5">
      <x:formula>1</x:formula>
    </x:cfRule>
  </x:conditionalFormatting>
  <x:conditionalFormatting sqref="N2:N61">
    <x:cfRule type="cellIs" dxfId="14" priority="6">
      <x:formula>1</x:formula>
    </x:cfRule>
  </x:conditionalFormatting>
  <x:conditionalFormatting sqref="O2:O61">
    <x:cfRule type="cellIs" dxfId="15" priority="7">
      <x:formula>1</x:formula>
    </x:cfRule>
  </x:conditionalFormatting>
  <x:conditionalFormatting sqref="F2:F61">
    <x:cfRule type="expression" dxfId="16" priority="8">
      <x:formula>F2="Software-agnostic"</x:formula>
    </x:cfRule>
    <x:cfRule type="expression" dxfId="17" priority="9">
      <x:formula>F2="Multi-tool"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1730241b42499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13" hidden="0" customWidth="1"/>
    <x:col min="5" max="5" width="18" hidden="0" customWidth="1"/>
    <x:col min="6" max="6" width="15" hidden="0" customWidth="1"/>
    <x:col min="7" max="7" width="18" hidden="0" customWidth="1"/>
    <x:col min="8" max="8" width="25" hidden="0" customWidth="1"/>
    <x:col min="9" max="9" width="18" hidden="0" customWidth="1"/>
  </x:cols>
  <x:sheetData>
    <x:row r="1">
      <x:c r="A1" s="87" t="str">
        <x:v>传统/专业视频剪辑教程：中性发现固定样本 v3（2026-08-16）</x:v>
      </x:c>
      <x:c r="B1" s="87"/>
      <x:c r="C1" s="87"/>
      <x:c r="D1" s="87"/>
      <x:c r="E1" s="87"/>
      <x:c r="F1" s="87"/>
      <x:c r="G1" s="87"/>
      <x:c r="H1" s="87"/>
      <x:c r="I1" s="87"/>
      <x:c r="K1" t="str">
        <x:v>Tool</x:v>
      </x:c>
      <x:c r="L1" t="str">
        <x:v>Bili_views</x:v>
      </x:c>
      <x:c r="M1" t="str">
        <x:v>YT_views</x:v>
      </x:c>
    </x:row>
    <x:row r="2">
      <x:c r="A2" s="83" t="str">
        <x:v>Bilibili 30 + YouTube 30。发现阶段使用不含软件名的中性关键词；随后才验证具体软件。它是“搜索可见高播放固定样本”，不是平台官方绝对Top30，也不是市场份额调查。</x:v>
      </x:c>
      <x:c r="B2" s="83"/>
      <x:c r="C2" s="83"/>
      <x:c r="D2" s="83"/>
      <x:c r="E2" s="83"/>
      <x:c r="F2" s="83"/>
      <x:c r="G2" s="83"/>
      <x:c r="H2" s="83"/>
      <x:c r="I2" s="83"/>
      <x:c r="K2" t="str">
        <x:v>Premiere Pro</x:v>
      </x:c>
      <x:c r="L2" t="n">
        <x:f>SUMIFS(Neutral_Edit_60!$C$2:$C$61,Neutral_Edit_60!$A$2:$A$61,"Bilibili",Neutral_Edit_60!$F$2:$F$61,K2)</x:f>
        <x:v>100465000</x:v>
      </x:c>
      <x:c r="M2" t="n">
        <x:f>SUMIFS(Neutral_Edit_60!$C$2:$C$61,Neutral_Edit_60!$A$2:$A$61,"YouTube",Neutral_Edit_60!$F$2:$F$61,K2)</x:f>
        <x:v>11400000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K3" t="str">
        <x:v>剪映</x:v>
      </x:c>
      <x:c r="L3" t="n">
        <x:f>SUMIFS(Neutral_Edit_60!$C$2:$C$61,Neutral_Edit_60!$A$2:$A$61,"Bilibili",Neutral_Edit_60!$F$2:$F$61,K3)</x:f>
        <x:v>6246000</x:v>
      </x:c>
      <x:c r="M3" t="n">
        <x:f>SUMIFS(Neutral_Edit_60!$C$2:$C$61,Neutral_Edit_60!$A$2:$A$61,"YouTube",Neutral_Edit_60!$F$2:$F$61,K3)</x:f>
        <x:v>0</x:v>
      </x:c>
    </x:row>
    <x:row r="4">
      <x:c r="A4" s="75" t="str">
        <x:v>Platform</x:v>
      </x:c>
      <x:c r="B4" s="75" t="str">
        <x:v>Sample_n</x:v>
      </x:c>
      <x:c r="C4" s="75" t="str">
        <x:v>Total_views</x:v>
      </x:c>
      <x:c r="D4" s="75" t="str">
        <x:v>Resolved_editor_rows</x:v>
      </x:c>
      <x:c r="E4" s="75" t="str">
        <x:v>Resolved_view_coverage</x:v>
      </x:c>
      <x:c r="F4" s="75" t="str">
        <x:v>Adobe_any_views</x:v>
      </x:c>
      <x:c r="G4" s="75" t="str">
        <x:v>Adobe_any_view_share</x:v>
      </x:c>
      <x:c r="H4" s="75" t="str">
        <x:v>Professional_NLE_view_share</x:v>
      </x:c>
      <x:c r="I4" s="12"/>
      <x:c r="K4" t="str">
        <x:v>必剪</x:v>
      </x:c>
      <x:c r="L4" t="n">
        <x:f>SUMIFS(Neutral_Edit_60!$C$2:$C$61,Neutral_Edit_60!$A$2:$A$61,"Bilibili",Neutral_Edit_60!$F$2:$F$61,K4)</x:f>
        <x:v>4874000</x:v>
      </x:c>
      <x:c r="M4" t="n">
        <x:f>SUMIFS(Neutral_Edit_60!$C$2:$C$61,Neutral_Edit_60!$A$2:$A$61,"YouTube",Neutral_Edit_60!$F$2:$F$61,K4)</x:f>
        <x:v>0</x:v>
      </x:c>
    </x:row>
    <x:row r="5">
      <x:c r="A5" s="12" t="str">
        <x:v>Bilibili</x:v>
      </x:c>
      <x:c r="B5" s="12" t="n">
        <x:f>COUNTIF(Neutral_Edit_60!$A$2:$A$61,A5)</x:f>
        <x:v>30</x:v>
      </x:c>
      <x:c r="C5" s="47" t="n">
        <x:f>SUMIF(Neutral_Edit_60!$A$2:$A$61,A5,Neutral_Edit_60!$C$2:$C$61)</x:f>
        <x:v>137008000</x:v>
      </x:c>
      <x:c r="D5" s="12" t="n">
        <x:f>SUMIFS(Neutral_Edit_60!$O$2:$O$61,Neutral_Edit_60!$A$2:$A$61,A5)</x:f>
        <x:v>15</x:v>
      </x:c>
      <x:c r="E5" s="48" t="n">
        <x:f>SUMIFS(Neutral_Edit_60!$C$2:$C$61,Neutral_Edit_60!$A$2:$A$61,A5,Neutral_Edit_60!$O$2:$O$61,1)/C5</x:f>
        <x:v>0.854884386313208</x:v>
      </x:c>
      <x:c r="F5" s="47" t="n">
        <x:f>SUMIFS(Neutral_Edit_60!$C$2:$C$61,Neutral_Edit_60!$A$2:$A$61,A5,Neutral_Edit_60!$L$2:$L$61,1)</x:f>
        <x:v>109391000</x:v>
      </x:c>
      <x:c r="G5" s="48" t="n">
        <x:f>F5/C5</x:f>
        <x:v>0.7984278290318814</x:v>
      </x:c>
      <x:c r="H5" s="48" t="n">
        <x:f>(SUMIFS(Neutral_Edit_60!$C$2:$C$61,Neutral_Edit_60!$A$2:$A$61,A5,Neutral_Edit_60!$F$2:$F$61,"Premiere Pro")+SUMIFS(Neutral_Edit_60!$C$2:$C$61,Neutral_Edit_60!$A$2:$A$61,A5,Neutral_Edit_60!$F$2:$F$61,"DaVinci Resolve")+SUMIFS(Neutral_Edit_60!$C$2:$C$61,Neutral_Edit_60!$A$2:$A$61,A5,Neutral_Edit_60!$F$2:$F$61,"Final Cut Pro"))/C5</x:f>
        <x:v>0.7737212425551793</x:v>
      </x:c>
      <x:c r="I5" s="12"/>
      <x:c r="K5" t="str">
        <x:v>DaVinci Resolve</x:v>
      </x:c>
      <x:c r="L5" t="n">
        <x:f>SUMIFS(Neutral_Edit_60!$C$2:$C$61,Neutral_Edit_60!$A$2:$A$61,"Bilibili",Neutral_Edit_60!$F$2:$F$61,K5)</x:f>
        <x:v>4676000</x:v>
      </x:c>
      <x:c r="M5" t="n">
        <x:f>SUMIFS(Neutral_Edit_60!$C$2:$C$61,Neutral_Edit_60!$A$2:$A$61,"YouTube",Neutral_Edit_60!$F$2:$F$61,K5)</x:f>
        <x:v>2900000</x:v>
      </x:c>
    </x:row>
    <x:row r="6">
      <x:c r="A6" s="12" t="str">
        <x:v>YouTube</x:v>
      </x:c>
      <x:c r="B6" s="12" t="n">
        <x:f>COUNTIF(Neutral_Edit_60!$A$2:$A$61,A6)</x:f>
        <x:v>30</x:v>
      </x:c>
      <x:c r="C6" s="47" t="n">
        <x:f>SUMIF(Neutral_Edit_60!$A$2:$A$61,A6,Neutral_Edit_60!$C$2:$C$61)</x:f>
        <x:v>35369400</x:v>
      </x:c>
      <x:c r="D6" s="12" t="n">
        <x:f>SUMIFS(Neutral_Edit_60!$O$2:$O$61,Neutral_Edit_60!$A$2:$A$61,A6)</x:f>
        <x:v>26</x:v>
      </x:c>
      <x:c r="E6" s="48" t="n">
        <x:f>SUMIFS(Neutral_Edit_60!$C$2:$C$61,Neutral_Edit_60!$A$2:$A$61,A6,Neutral_Edit_60!$O$2:$O$61,1)/C6</x:f>
        <x:v>0.9294305246908344</x:v>
      </x:c>
      <x:c r="F6" s="47" t="n">
        <x:f>SUMIFS(Neutral_Edit_60!$C$2:$C$61,Neutral_Edit_60!$A$2:$A$61,A6,Neutral_Edit_60!$L$2:$L$61,1)</x:f>
        <x:v>11795400</x:v>
      </x:c>
      <x:c r="G6" s="48" t="n">
        <x:f>F6/C6</x:f>
        <x:v>0.3334916622843475</x:v>
      </x:c>
      <x:c r="H6" s="48" t="n">
        <x:f>(SUMIFS(Neutral_Edit_60!$C$2:$C$61,Neutral_Edit_60!$A$2:$A$61,A6,Neutral_Edit_60!$F$2:$F$61,"Premiere Pro")+SUMIFS(Neutral_Edit_60!$C$2:$C$61,Neutral_Edit_60!$A$2:$A$61,A6,Neutral_Edit_60!$F$2:$F$61,"DaVinci Resolve")+SUMIFS(Neutral_Edit_60!$C$2:$C$61,Neutral_Edit_60!$A$2:$A$61,A6,Neutral_Edit_60!$F$2:$F$61,"Final Cut Pro"))/C6</x:f>
        <x:v>0.4665049449524165</x:v>
      </x:c>
      <x:c r="I6" s="12"/>
      <x:c r="K6" t="str">
        <x:v>Final Cut Pro</x:v>
      </x:c>
      <x:c r="L6" t="n">
        <x:f>SUMIFS(Neutral_Edit_60!$C$2:$C$61,Neutral_Edit_60!$A$2:$A$61,"Bilibili",Neutral_Edit_60!$F$2:$F$61,K6)</x:f>
        <x:v>865000</x:v>
      </x:c>
      <x:c r="M6" t="n">
        <x:f>SUMIFS(Neutral_Edit_60!$C$2:$C$61,Neutral_Edit_60!$A$2:$A$61,"YouTube",Neutral_Edit_60!$F$2:$F$61,K6)</x:f>
        <x:v>2200000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K7" t="str">
        <x:v>CapCut</x:v>
      </x:c>
      <x:c r="L7" t="n">
        <x:f>SUMIFS(Neutral_Edit_60!$C$2:$C$61,Neutral_Edit_60!$A$2:$A$61,"Bilibili",Neutral_Edit_60!$F$2:$F$61,K7)</x:f>
        <x:v>0</x:v>
      </x:c>
      <x:c r="M7" t="n">
        <x:f>SUMIFS(Neutral_Edit_60!$C$2:$C$61,Neutral_Edit_60!$A$2:$A$61,"YouTube",Neutral_Edit_60!$F$2:$F$61,K7)</x:f>
        <x:v>2753000</x:v>
      </x:c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K8" t="str">
        <x:v>KineMaster</x:v>
      </x:c>
      <x:c r="L8" t="n">
        <x:f>SUMIFS(Neutral_Edit_60!$C$2:$C$61,Neutral_Edit_60!$A$2:$A$61,"Bilibili",Neutral_Edit_60!$F$2:$F$61,K8)</x:f>
        <x:v>0</x:v>
      </x:c>
      <x:c r="M8" t="n">
        <x:f>SUMIFS(Neutral_Edit_60!$C$2:$C$61,Neutral_Edit_60!$A$2:$A$61,"YouTube",Neutral_Edit_60!$F$2:$F$61,K8)</x:f>
        <x:v>7204000</x:v>
      </x:c>
    </x:row>
    <x:row r="9">
      <x:c r="A9" s="75" t="str">
        <x:v>Platform</x:v>
      </x:c>
      <x:c r="B9" s="75" t="str">
        <x:v>Tool/category</x:v>
      </x:c>
      <x:c r="C9" s="75" t="str">
        <x:v>Explicit_rows</x:v>
      </x:c>
      <x:c r="D9" s="75" t="str">
        <x:v>Row_share</x:v>
      </x:c>
      <x:c r="E9" s="75" t="str">
        <x:v>Observed_views</x:v>
      </x:c>
      <x:c r="F9" s="75" t="str">
        <x:v>View_share</x:v>
      </x:c>
      <x:c r="G9" s="12"/>
      <x:c r="H9" s="75" t="str">
        <x:v>Concentration metric</x:v>
      </x:c>
      <x:c r="I9" s="75" t="str">
        <x:v>Value</x:v>
      </x:c>
      <x:c r="K9" t="str">
        <x:v>Camtasia</x:v>
      </x:c>
      <x:c r="L9" t="n">
        <x:f>SUMIFS(Neutral_Edit_60!$C$2:$C$61,Neutral_Edit_60!$A$2:$A$61,"Bilibili",Neutral_Edit_60!$F$2:$F$61,K9)</x:f>
        <x:v>0</x:v>
      </x:c>
      <x:c r="M9" t="n">
        <x:f>SUMIFS(Neutral_Edit_60!$C$2:$C$61,Neutral_Edit_60!$A$2:$A$61,"YouTube",Neutral_Edit_60!$F$2:$F$61,K9)</x:f>
        <x:v>3800000</x:v>
      </x:c>
    </x:row>
    <x:row r="10">
      <x:c r="A10" s="12" t="str">
        <x:v>Bilibili</x:v>
      </x:c>
      <x:c r="B10" s="12" t="str">
        <x:v>Premiere Pro</x:v>
      </x:c>
      <x:c r="C10" s="12" t="n">
        <x:f>COUNTIFS(Neutral_Edit_60!$A$2:$A$61,A10,Neutral_Edit_60!$F$2:$F$61,B10)</x:f>
        <x:v>7</x:v>
      </x:c>
      <x:c r="D10" s="48" t="n">
        <x:f>C10/$B$5</x:f>
        <x:v>0.23333333333333334</x:v>
      </x:c>
      <x:c r="E10" s="47" t="n">
        <x:f>SUMIFS(Neutral_Edit_60!$C$2:$C$61,Neutral_Edit_60!$A$2:$A$61,A10,Neutral_Edit_60!$F$2:$F$61,B10)</x:f>
        <x:v>100465000</x:v>
      </x:c>
      <x:c r="F10" s="48" t="n">
        <x:f>E10/$C$5</x:f>
        <x:v>0.7332783487095644</x:v>
      </x:c>
      <x:c r="G10" s="12"/>
      <x:c r="H10" s="12" t="str">
        <x:v>Bili specific-editor views</x:v>
      </x:c>
      <x:c r="I10" s="47" t="n">
        <x:f>SUM(L2:L16)</x:f>
        <x:v>117126000</x:v>
      </x:c>
      <x:c r="K10" t="str">
        <x:v>iMovie</x:v>
      </x:c>
      <x:c r="L10" t="n">
        <x:f>SUMIFS(Neutral_Edit_60!$C$2:$C$61,Neutral_Edit_60!$A$2:$A$61,"Bilibili",Neutral_Edit_60!$F$2:$F$61,K10)</x:f>
        <x:v>0</x:v>
      </x:c>
      <x:c r="M10" t="n">
        <x:f>SUMIFS(Neutral_Edit_60!$C$2:$C$61,Neutral_Edit_60!$A$2:$A$61,"YouTube",Neutral_Edit_60!$F$2:$F$61,K10)</x:f>
        <x:v>1300000</x:v>
      </x:c>
    </x:row>
    <x:row r="11">
      <x:c r="A11" s="12" t="str">
        <x:v>Bilibili</x:v>
      </x:c>
      <x:c r="B11" s="12" t="str">
        <x:v>After Effects (adjacent)</x:v>
      </x:c>
      <x:c r="C11" s="12" t="n">
        <x:f>SUMIFS(Neutral_Edit_60!$J$2:$J$61,Neutral_Edit_60!$A$2:$A$61,A11)</x:f>
        <x:v>2</x:v>
      </x:c>
      <x:c r="D11" s="48" t="n">
        <x:f>C11/$B$5</x:f>
        <x:v>0.06666666666666667</x:v>
      </x:c>
      <x:c r="E11" s="47" t="n">
        <x:f>SUMIFS(Neutral_Edit_60!$C$2:$C$61,Neutral_Edit_60!$A$2:$A$61,A11,Neutral_Edit_60!$J$2:$J$61,1)</x:f>
        <x:v>21149000</x:v>
      </x:c>
      <x:c r="F11" s="48" t="n">
        <x:f>E11/$C$5</x:f>
        <x:v>0.15436324886138036</x:v>
      </x:c>
      <x:c r="G11" s="12"/>
      <x:c r="H11" s="12" t="str">
        <x:v>Bili editor HHI</x:v>
      </x:c>
      <x:c r="I11" s="88" t="n">
        <x:f>SUMPRODUCT((L2:L16/I10)^2)</x:f>
        <x:v>0.7419614323725784</x:v>
      </x:c>
      <x:c r="K11" t="str">
        <x:v>Filmora</x:v>
      </x:c>
      <x:c r="L11" t="n">
        <x:f>SUMIFS(Neutral_Edit_60!$C$2:$C$61,Neutral_Edit_60!$A$2:$A$61,"Bilibili",Neutral_Edit_60!$F$2:$F$61,K11)</x:f>
        <x:v>0</x:v>
      </x:c>
      <x:c r="M11" t="n">
        <x:f>SUMIFS(Neutral_Edit_60!$C$2:$C$61,Neutral_Edit_60!$A$2:$A$61,"YouTube",Neutral_Edit_60!$F$2:$F$61,K11)</x:f>
        <x:v>543000</x:v>
      </x:c>
    </x:row>
    <x:row r="12">
      <x:c r="A12" s="12" t="str">
        <x:v>Bilibili</x:v>
      </x:c>
      <x:c r="B12" s="12" t="str">
        <x:v>剪映</x:v>
      </x:c>
      <x:c r="C12" s="12" t="n">
        <x:f>COUNTIFS(Neutral_Edit_60!$A$2:$A$61,A12,Neutral_Edit_60!$F$2:$F$61,B12)</x:f>
        <x:v>2</x:v>
      </x:c>
      <x:c r="D12" s="48" t="n">
        <x:f>C12/$B$5</x:f>
        <x:v>0.06666666666666667</x:v>
      </x:c>
      <x:c r="E12" s="47" t="n">
        <x:f>SUMIFS(Neutral_Edit_60!$C$2:$C$61,Neutral_Edit_60!$A$2:$A$61,A12,Neutral_Edit_60!$F$2:$F$61,B12)</x:f>
        <x:v>6246000</x:v>
      </x:c>
      <x:c r="F12" s="48" t="n">
        <x:f>E12/$C$5</x:f>
        <x:v>0.04558857876912297</x:v>
      </x:c>
      <x:c r="G12" s="12"/>
      <x:c r="H12" s="12" t="str">
        <x:v>YT specific-editor views</x:v>
      </x:c>
      <x:c r="I12" s="88" t="n">
        <x:f>SUM(M2:M16)</x:f>
        <x:v>32873400</x:v>
      </x:c>
      <x:c r="K12" t="str">
        <x:v>Clipchamp</x:v>
      </x:c>
      <x:c r="L12" t="n">
        <x:f>SUMIFS(Neutral_Edit_60!$C$2:$C$61,Neutral_Edit_60!$A$2:$A$61,"Bilibili",Neutral_Edit_60!$F$2:$F$61,K12)</x:f>
        <x:v>0</x:v>
      </x:c>
      <x:c r="M12" t="n">
        <x:f>SUMIFS(Neutral_Edit_60!$C$2:$C$61,Neutral_Edit_60!$A$2:$A$61,"YouTube",Neutral_Edit_60!$F$2:$F$61,K12)</x:f>
        <x:v>281000</x:v>
      </x:c>
    </x:row>
    <x:row r="13">
      <x:c r="A13" s="12" t="str">
        <x:v>Bilibili</x:v>
      </x:c>
      <x:c r="B13" s="12" t="str">
        <x:v>必剪</x:v>
      </x:c>
      <x:c r="C13" s="12" t="n">
        <x:f>COUNTIFS(Neutral_Edit_60!$A$2:$A$61,A13,Neutral_Edit_60!$F$2:$F$61,B13)</x:f>
        <x:v>2</x:v>
      </x:c>
      <x:c r="D13" s="48" t="n">
        <x:f>C13/$B$5</x:f>
        <x:v>0.06666666666666667</x:v>
      </x:c>
      <x:c r="E13" s="47" t="n">
        <x:f>SUMIFS(Neutral_Edit_60!$C$2:$C$61,Neutral_Edit_60!$A$2:$A$61,A13,Neutral_Edit_60!$F$2:$F$61,B13)</x:f>
        <x:v>4874000</x:v>
      </x:c>
      <x:c r="F13" s="48" t="n">
        <x:f>E13/$C$5</x:f>
        <x:v>0.03557456498890576</x:v>
      </x:c>
      <x:c r="G13" s="12"/>
      <x:c r="H13" s="12" t="str">
        <x:v>YT editor HHI</x:v>
      </x:c>
      <x:c r="I13" s="88" t="n">
        <x:f>SUMPRODUCT((M2:M16/I12)^2)</x:f>
        <x:v>0.20291781392895036</x:v>
      </x:c>
      <x:c r="K13" t="str">
        <x:v>Adobe Express</x:v>
      </x:c>
      <x:c r="L13" t="n">
        <x:f>SUMIFS(Neutral_Edit_60!$C$2:$C$61,Neutral_Edit_60!$A$2:$A$61,"Bilibili",Neutral_Edit_60!$F$2:$F$61,K13)</x:f>
        <x:v>0</x:v>
      </x:c>
      <x:c r="M13" t="n">
        <x:f>SUMIFS(Neutral_Edit_60!$C$2:$C$61,Neutral_Edit_60!$A$2:$A$61,"YouTube",Neutral_Edit_60!$F$2:$F$61,K13)</x:f>
        <x:v>273400</x:v>
      </x:c>
    </x:row>
    <x:row r="14">
      <x:c r="A14" s="12" t="str">
        <x:v>Bilibili</x:v>
      </x:c>
      <x:c r="B14" s="12" t="str">
        <x:v>DaVinci Resolve</x:v>
      </x:c>
      <x:c r="C14" s="12" t="n">
        <x:f>COUNTIFS(Neutral_Edit_60!$A$2:$A$61,A14,Neutral_Edit_60!$F$2:$F$61,B14)</x:f>
        <x:v>2</x:v>
      </x:c>
      <x:c r="D14" s="48" t="n">
        <x:f>C14/$B$5</x:f>
        <x:v>0.06666666666666667</x:v>
      </x:c>
      <x:c r="E14" s="47" t="n">
        <x:f>SUMIFS(Neutral_Edit_60!$C$2:$C$61,Neutral_Edit_60!$A$2:$A$61,A14,Neutral_Edit_60!$F$2:$F$61,B14)</x:f>
        <x:v>4676000</x:v>
      </x:c>
      <x:c r="F14" s="48" t="n">
        <x:f>E14/$C$5</x:f>
        <x:v>0.03412939390400561</x:v>
      </x:c>
      <x:c r="G14" s="12"/>
      <x:c r="H14" s="12"/>
      <x:c r="I14" s="12"/>
      <x:c r="K14" t="str">
        <x:v>Premiere Rush</x:v>
      </x:c>
      <x:c r="L14" t="n">
        <x:f>SUMIFS(Neutral_Edit_60!$C$2:$C$61,Neutral_Edit_60!$A$2:$A$61,"Bilibili",Neutral_Edit_60!$F$2:$F$61,K14)</x:f>
        <x:v>0</x:v>
      </x:c>
      <x:c r="M14" t="n">
        <x:f>SUMIFS(Neutral_Edit_60!$C$2:$C$61,Neutral_Edit_60!$A$2:$A$61,"YouTube",Neutral_Edit_60!$F$2:$F$61,K14)</x:f>
        <x:v>122000</x:v>
      </x:c>
    </x:row>
    <x:row r="15">
      <x:c r="A15" s="12" t="str">
        <x:v>Bilibili</x:v>
      </x:c>
      <x:c r="B15" s="12" t="str">
        <x:v>Final Cut Pro</x:v>
      </x:c>
      <x:c r="C15" s="12" t="n">
        <x:f>COUNTIFS(Neutral_Edit_60!$A$2:$A$61,A15,Neutral_Edit_60!$F$2:$F$61,B15)</x:f>
        <x:v>2</x:v>
      </x:c>
      <x:c r="D15" s="48" t="n">
        <x:f>C15/$B$5</x:f>
        <x:v>0.06666666666666667</x:v>
      </x:c>
      <x:c r="E15" s="47" t="n">
        <x:f>SUMIFS(Neutral_Edit_60!$C$2:$C$61,Neutral_Edit_60!$A$2:$A$61,A15,Neutral_Edit_60!$F$2:$F$61,B15)</x:f>
        <x:v>865000</x:v>
      </x:c>
      <x:c r="F15" s="48" t="n">
        <x:f>E15/$C$5</x:f>
        <x:v>0.006313499941609249</x:v>
      </x:c>
      <x:c r="G15" s="12"/>
      <x:c r="H15" s="86" t="str">
        <x:v>HHI：越接近1，样本中的编辑器播放暴露越集中；这里只对“已解析到具体编辑器”的播放量计算。</x:v>
      </x:c>
      <x:c r="I15" s="86"/>
      <x:c r="K15" t="str">
        <x:v>Descript</x:v>
      </x:c>
      <x:c r="L15" t="n">
        <x:f>SUMIFS(Neutral_Edit_60!$C$2:$C$61,Neutral_Edit_60!$A$2:$A$61,"Bilibili",Neutral_Edit_60!$F$2:$F$61,K15)</x:f>
        <x:v>0</x:v>
      </x:c>
      <x:c r="M15" t="n">
        <x:f>SUMIFS(Neutral_Edit_60!$C$2:$C$61,Neutral_Edit_60!$A$2:$A$61,"YouTube",Neutral_Edit_60!$F$2:$F$61,K15)</x:f>
        <x:v>64000</x:v>
      </x:c>
    </x:row>
    <x:row r="16">
      <x:c r="A16" s="12" t="str">
        <x:v>Bilibili</x:v>
      </x:c>
      <x:c r="B16" s="12" t="str">
        <x:v>CapCut</x:v>
      </x:c>
      <x:c r="C16" s="12" t="n">
        <x:f>COUNTIFS(Neutral_Edit_60!$A$2:$A$61,A16,Neutral_Edit_60!$F$2:$F$61,B16)</x:f>
        <x:v>0</x:v>
      </x:c>
      <x:c r="D16" s="48" t="n">
        <x:f>C16/$B$5</x:f>
        <x:v>0</x:v>
      </x:c>
      <x:c r="E16" s="47" t="n">
        <x:f>SUMIFS(Neutral_Edit_60!$C$2:$C$61,Neutral_Edit_60!$A$2:$A$61,A16,Neutral_Edit_60!$F$2:$F$61,B16)</x:f>
        <x:v>0</x:v>
      </x:c>
      <x:c r="F16" s="48" t="n">
        <x:f>E16/$C$5</x:f>
        <x:v>0</x:v>
      </x:c>
      <x:c r="G16" s="12"/>
      <x:c r="H16" s="12"/>
      <x:c r="I16" s="12"/>
      <x:c r="K16" t="str">
        <x:v>Canva</x:v>
      </x:c>
      <x:c r="L16" t="n">
        <x:f>SUMIFS(Neutral_Edit_60!$C$2:$C$61,Neutral_Edit_60!$A$2:$A$61,"Bilibili",Neutral_Edit_60!$F$2:$F$61,K16)</x:f>
        <x:v>0</x:v>
      </x:c>
      <x:c r="M16" t="n">
        <x:f>SUMIFS(Neutral_Edit_60!$C$2:$C$61,Neutral_Edit_60!$A$2:$A$61,"YouTube",Neutral_Edit_60!$F$2:$F$61,K16)</x:f>
        <x:v>33000</x:v>
      </x:c>
    </x:row>
    <x:row r="17">
      <x:c r="A17" s="12" t="str">
        <x:v>Bilibili</x:v>
      </x:c>
      <x:c r="B17" s="12" t="str">
        <x:v>KineMaster</x:v>
      </x:c>
      <x:c r="C17" s="12" t="n">
        <x:f>COUNTIFS(Neutral_Edit_60!$A$2:$A$61,A17,Neutral_Edit_60!$F$2:$F$61,B17)</x:f>
        <x:v>0</x:v>
      </x:c>
      <x:c r="D17" s="48" t="n">
        <x:f>C17/$B$5</x:f>
        <x:v>0</x:v>
      </x:c>
      <x:c r="E17" s="47" t="n">
        <x:f>SUMIFS(Neutral_Edit_60!$C$2:$C$61,Neutral_Edit_60!$A$2:$A$61,A17,Neutral_Edit_60!$F$2:$F$61,B17)</x:f>
        <x:v>0</x:v>
      </x:c>
      <x:c r="F17" s="48" t="n">
        <x:f>E17/$C$5</x:f>
        <x:v>0</x:v>
      </x:c>
      <x:c r="G17" s="12"/>
      <x:c r="H17" s="12"/>
      <x:c r="I17" s="12"/>
    </x:row>
    <x:row r="18">
      <x:c r="A18" s="12" t="str">
        <x:v>Bilibili</x:v>
      </x:c>
      <x:c r="B18" s="12" t="str">
        <x:v>Camtasia</x:v>
      </x:c>
      <x:c r="C18" s="12" t="n">
        <x:f>COUNTIFS(Neutral_Edit_60!$A$2:$A$61,A18,Neutral_Edit_60!$F$2:$F$61,B18)</x:f>
        <x:v>0</x:v>
      </x:c>
      <x:c r="D18" s="48" t="n">
        <x:f>C18/$B$5</x:f>
        <x:v>0</x:v>
      </x:c>
      <x:c r="E18" s="47" t="n">
        <x:f>SUMIFS(Neutral_Edit_60!$C$2:$C$61,Neutral_Edit_60!$A$2:$A$61,A18,Neutral_Edit_60!$F$2:$F$61,B18)</x:f>
        <x:v>0</x:v>
      </x:c>
      <x:c r="F18" s="48" t="n">
        <x:f>E18/$C$5</x:f>
        <x:v>0</x:v>
      </x:c>
      <x:c r="G18" s="12"/>
      <x:c r="H18" s="75" t="str">
        <x:v>Series</x:v>
      </x:c>
      <x:c r="I18" s="75" t="str">
        <x:v>View_share</x:v>
      </x:c>
    </x:row>
    <x:row r="19">
      <x:c r="A19" s="12" t="str">
        <x:v>Bilibili</x:v>
      </x:c>
      <x:c r="B19" s="12" t="str">
        <x:v>iMovie</x:v>
      </x:c>
      <x:c r="C19" s="12" t="n">
        <x:f>COUNTIFS(Neutral_Edit_60!$A$2:$A$61,A19,Neutral_Edit_60!$F$2:$F$61,B19)</x:f>
        <x:v>0</x:v>
      </x:c>
      <x:c r="D19" s="48" t="n">
        <x:f>C19/$B$5</x:f>
        <x:v>0</x:v>
      </x:c>
      <x:c r="E19" s="47" t="n">
        <x:f>SUMIFS(Neutral_Edit_60!$C$2:$C$61,Neutral_Edit_60!$A$2:$A$61,A19,Neutral_Edit_60!$F$2:$F$61,B19)</x:f>
        <x:v>0</x:v>
      </x:c>
      <x:c r="F19" s="48" t="n">
        <x:f>E19/$C$5</x:f>
        <x:v>0</x:v>
      </x:c>
      <x:c r="G19" s="12"/>
      <x:c r="H19" s="12" t="str">
        <x:v>Bili-Premiere</x:v>
      </x:c>
      <x:c r="I19" s="48" t="n">
        <x:f>SUMIFS($F$10:$F$45,$A$10:$A$45,"Bilibili",$B$10:$B$45,"Premiere Pro")</x:f>
        <x:v>0.7332783487095644</x:v>
      </x:c>
    </x:row>
    <x:row r="20">
      <x:c r="A20" s="12" t="str">
        <x:v>Bilibili</x:v>
      </x:c>
      <x:c r="B20" s="12" t="str">
        <x:v>Filmora</x:v>
      </x:c>
      <x:c r="C20" s="12" t="n">
        <x:f>COUNTIFS(Neutral_Edit_60!$A$2:$A$61,A20,Neutral_Edit_60!$F$2:$F$61,B20)</x:f>
        <x:v>0</x:v>
      </x:c>
      <x:c r="D20" s="48" t="n">
        <x:f>C20/$B$5</x:f>
        <x:v>0</x:v>
      </x:c>
      <x:c r="E20" s="47" t="n">
        <x:f>SUMIFS(Neutral_Edit_60!$C$2:$C$61,Neutral_Edit_60!$A$2:$A$61,A20,Neutral_Edit_60!$F$2:$F$61,B20)</x:f>
        <x:v>0</x:v>
      </x:c>
      <x:c r="F20" s="48" t="n">
        <x:f>E20/$C$5</x:f>
        <x:v>0</x:v>
      </x:c>
      <x:c r="G20" s="12"/>
      <x:c r="H20" s="12" t="str">
        <x:v>Bili-剪映+必剪</x:v>
      </x:c>
      <x:c r="I20" s="48" t="n">
        <x:f>SUMIFS($F$10:$F$45,$A$10:$A$45,"Bilibili",$B$10:$B$45,"剪映")+SUMIFS($F$10:$F$45,$A$10:$A$45,"Bilibili",$B$10:$B$45,"必剪")</x:f>
        <x:v>0.08116314375802873</x:v>
      </x:c>
    </x:row>
    <x:row r="21">
      <x:c r="A21" s="12" t="str">
        <x:v>Bilibili</x:v>
      </x:c>
      <x:c r="B21" s="12" t="str">
        <x:v>Clipchamp</x:v>
      </x:c>
      <x:c r="C21" s="12" t="n">
        <x:f>COUNTIFS(Neutral_Edit_60!$A$2:$A$61,A21,Neutral_Edit_60!$F$2:$F$61,B21)</x:f>
        <x:v>0</x:v>
      </x:c>
      <x:c r="D21" s="48" t="n">
        <x:f>C21/$B$5</x:f>
        <x:v>0</x:v>
      </x:c>
      <x:c r="E21" s="47" t="n">
        <x:f>SUMIFS(Neutral_Edit_60!$C$2:$C$61,Neutral_Edit_60!$A$2:$A$61,A21,Neutral_Edit_60!$F$2:$F$61,B21)</x:f>
        <x:v>0</x:v>
      </x:c>
      <x:c r="F21" s="48" t="n">
        <x:f>E21/$C$5</x:f>
        <x:v>0</x:v>
      </x:c>
      <x:c r="G21" s="12"/>
      <x:c r="H21" s="12" t="str">
        <x:v>Bili-DaVinci</x:v>
      </x:c>
      <x:c r="I21" s="48" t="n">
        <x:f>SUMIFS($F$10:$F$45,$A$10:$A$45,"Bilibili",$B$10:$B$45,"DaVinci Resolve")</x:f>
        <x:v>0.03412939390400561</x:v>
      </x:c>
    </x:row>
    <x:row r="22">
      <x:c r="A22" s="12" t="str">
        <x:v>Bilibili</x:v>
      </x:c>
      <x:c r="B22" s="12" t="str">
        <x:v>Adobe Express</x:v>
      </x:c>
      <x:c r="C22" s="12" t="n">
        <x:f>COUNTIFS(Neutral_Edit_60!$A$2:$A$61,A22,Neutral_Edit_60!$F$2:$F$61,B22)</x:f>
        <x:v>0</x:v>
      </x:c>
      <x:c r="D22" s="48" t="n">
        <x:f>C22/$B$5</x:f>
        <x:v>0</x:v>
      </x:c>
      <x:c r="E22" s="47" t="n">
        <x:f>SUMIFS(Neutral_Edit_60!$C$2:$C$61,Neutral_Edit_60!$A$2:$A$61,A22,Neutral_Edit_60!$F$2:$F$61,B22)</x:f>
        <x:v>0</x:v>
      </x:c>
      <x:c r="F22" s="48" t="n">
        <x:f>E22/$C$5</x:f>
        <x:v>0</x:v>
      </x:c>
      <x:c r="G22" s="12"/>
      <x:c r="H22" s="12" t="str">
        <x:v>Bili-Final Cut</x:v>
      </x:c>
      <x:c r="I22" s="48" t="n">
        <x:f>SUMIFS($F$10:$F$45,$A$10:$A$45,"Bilibili",$B$10:$B$45,"Final Cut Pro")</x:f>
        <x:v>0.006313499941609249</x:v>
      </x:c>
    </x:row>
    <x:row r="23">
      <x:c r="A23" s="12" t="str">
        <x:v>Bilibili</x:v>
      </x:c>
      <x:c r="B23" s="12" t="str">
        <x:v>Premiere Rush</x:v>
      </x:c>
      <x:c r="C23" s="12" t="n">
        <x:f>COUNTIFS(Neutral_Edit_60!$A$2:$A$61,A23,Neutral_Edit_60!$F$2:$F$61,B23)</x:f>
        <x:v>0</x:v>
      </x:c>
      <x:c r="D23" s="48" t="n">
        <x:f>C23/$B$5</x:f>
        <x:v>0</x:v>
      </x:c>
      <x:c r="E23" s="47" t="n">
        <x:f>SUMIFS(Neutral_Edit_60!$C$2:$C$61,Neutral_Edit_60!$A$2:$A$61,A23,Neutral_Edit_60!$F$2:$F$61,B23)</x:f>
        <x:v>0</x:v>
      </x:c>
      <x:c r="F23" s="48" t="n">
        <x:f>E23/$C$5</x:f>
        <x:v>0</x:v>
      </x:c>
      <x:c r="G23" s="12"/>
      <x:c r="H23" s="12" t="str">
        <x:v>YT-Premiere</x:v>
      </x:c>
      <x:c r="I23" s="48" t="n">
        <x:f>SUMIFS($F$10:$F$45,$A$10:$A$45,"YouTube",$B$10:$B$45,"Premiere Pro")</x:f>
        <x:v>0.32231250742166956</x:v>
      </x:c>
    </x:row>
    <x:row r="24">
      <x:c r="A24" s="12" t="str">
        <x:v>Bilibili</x:v>
      </x:c>
      <x:c r="B24" s="12" t="str">
        <x:v>Descript</x:v>
      </x:c>
      <x:c r="C24" s="12" t="n">
        <x:f>COUNTIFS(Neutral_Edit_60!$A$2:$A$61,A24,Neutral_Edit_60!$F$2:$F$61,B24)</x:f>
        <x:v>0</x:v>
      </x:c>
      <x:c r="D24" s="48" t="n">
        <x:f>C24/$B$5</x:f>
        <x:v>0</x:v>
      </x:c>
      <x:c r="E24" s="47" t="n">
        <x:f>SUMIFS(Neutral_Edit_60!$C$2:$C$61,Neutral_Edit_60!$A$2:$A$61,A24,Neutral_Edit_60!$F$2:$F$61,B24)</x:f>
        <x:v>0</x:v>
      </x:c>
      <x:c r="F24" s="48" t="n">
        <x:f>E24/$C$5</x:f>
        <x:v>0</x:v>
      </x:c>
      <x:c r="G24" s="12"/>
      <x:c r="H24" s="12" t="str">
        <x:v>YT-CapCut</x:v>
      </x:c>
      <x:c r="I24" s="48" t="n">
        <x:f>SUMIFS($F$10:$F$45,$A$10:$A$45,"YouTube",$B$10:$B$45,"CapCut")</x:f>
        <x:v>0.07783564323963653</x:v>
      </x:c>
    </x:row>
    <x:row r="25">
      <x:c r="A25" s="12" t="str">
        <x:v>Bilibili</x:v>
      </x:c>
      <x:c r="B25" s="12" t="str">
        <x:v>Canva</x:v>
      </x:c>
      <x:c r="C25" s="12" t="n">
        <x:f>COUNTIFS(Neutral_Edit_60!$A$2:$A$61,A25,Neutral_Edit_60!$F$2:$F$61,B25)</x:f>
        <x:v>0</x:v>
      </x:c>
      <x:c r="D25" s="48" t="n">
        <x:f>C25/$B$5</x:f>
        <x:v>0</x:v>
      </x:c>
      <x:c r="E25" s="47" t="n">
        <x:f>SUMIFS(Neutral_Edit_60!$C$2:$C$61,Neutral_Edit_60!$A$2:$A$61,A25,Neutral_Edit_60!$F$2:$F$61,B25)</x:f>
        <x:v>0</x:v>
      </x:c>
      <x:c r="F25" s="48" t="n">
        <x:f>E25/$C$5</x:f>
        <x:v>0</x:v>
      </x:c>
      <x:c r="G25" s="12"/>
      <x:c r="H25" s="12" t="str">
        <x:v>YT-DaVinci</x:v>
      </x:c>
      <x:c r="I25" s="48" t="n">
        <x:f>SUMIFS($F$10:$F$45,$A$10:$A$45,"YouTube",$B$10:$B$45,"DaVinci Resolve")</x:f>
        <x:v>0.08199177820375805</x:v>
      </x:c>
    </x:row>
    <x:row r="26">
      <x:c r="A26" s="12" t="str">
        <x:v>Bilibili</x:v>
      </x:c>
      <x:c r="B26" s="12" t="str">
        <x:v>Software-agnostic</x:v>
      </x:c>
      <x:c r="C26" s="12" t="n">
        <x:f>COUNTIFS(Neutral_Edit_60!$A$2:$A$61,A26,Neutral_Edit_60!$F$2:$F$61,B26)</x:f>
        <x:v>9</x:v>
      </x:c>
      <x:c r="D26" s="48" t="n">
        <x:f>C26/$B$5</x:f>
        <x:v>0.3</x:v>
      </x:c>
      <x:c r="E26" s="47" t="n">
        <x:f>SUMIFS(Neutral_Edit_60!$C$2:$C$61,Neutral_Edit_60!$A$2:$A$61,A26,Neutral_Edit_60!$F$2:$F$61,B26)</x:f>
        <x:v>4801000</x:v>
      </x:c>
      <x:c r="F26" s="48" t="n">
        <x:f>E26/$C$5</x:f>
        <x:v>0.035041749386897116</x:v>
      </x:c>
      <x:c r="G26" s="12"/>
      <x:c r="H26" s="12" t="str">
        <x:v>YT-Final Cut</x:v>
      </x:c>
      <x:c r="I26" s="48" t="n">
        <x:f>SUMIFS($F$10:$F$45,$A$10:$A$45,"YouTube",$B$10:$B$45,"Final Cut Pro")</x:f>
        <x:v>0.062200659326988865</x:v>
      </x:c>
    </x:row>
    <x:row r="27">
      <x:c r="A27" s="12" t="str">
        <x:v>Bilibili</x:v>
      </x:c>
      <x:c r="B27" s="12" t="str">
        <x:v>Multi-tool</x:v>
      </x:c>
      <x:c r="C27" s="12" t="n">
        <x:f>COUNTIFS(Neutral_Edit_60!$A$2:$A$61,A27,Neutral_Edit_60!$F$2:$F$61,B27)</x:f>
        <x:v>4</x:v>
      </x:c>
      <x:c r="D27" s="48" t="n">
        <x:f>C27/$B$5</x:f>
        <x:v>0.13333333333333333</x:v>
      </x:c>
      <x:c r="E27" s="47" t="n">
        <x:f>SUMIFS(Neutral_Edit_60!$C$2:$C$61,Neutral_Edit_60!$A$2:$A$61,A27,Neutral_Edit_60!$F$2:$F$61,B27)</x:f>
        <x:v>5400000</x:v>
      </x:c>
      <x:c r="F27" s="48" t="n">
        <x:f>E27/$C$5</x:f>
        <x:v>0.03941375686091323</x:v>
      </x:c>
      <x:c r="G27" s="12"/>
      <x:c r="H27" s="12"/>
      <x:c r="I27" s="12"/>
    </x:row>
    <x:row r="28">
      <x:c r="A28" s="12" t="str">
        <x:v>YouTube</x:v>
      </x:c>
      <x:c r="B28" s="12" t="str">
        <x:v>Premiere Pro</x:v>
      </x:c>
      <x:c r="C28" s="12" t="n">
        <x:f>COUNTIFS(Neutral_Edit_60!$A$2:$A$61,A28,Neutral_Edit_60!$F$2:$F$61,B28)</x:f>
        <x:v>5</x:v>
      </x:c>
      <x:c r="D28" s="48" t="n">
        <x:f>C28/$B$6</x:f>
        <x:v>0.16666666666666666</x:v>
      </x:c>
      <x:c r="E28" s="47" t="n">
        <x:f>SUMIFS(Neutral_Edit_60!$C$2:$C$61,Neutral_Edit_60!$A$2:$A$61,A28,Neutral_Edit_60!$F$2:$F$61,B28)</x:f>
        <x:v>11400000</x:v>
      </x:c>
      <x:c r="F28" s="48" t="n">
        <x:f>E28/$C$6</x:f>
        <x:v>0.32231250742166956</x:v>
      </x:c>
      <x:c r="G28" s="12"/>
      <x:c r="H28" s="12"/>
      <x:c r="I28" s="12"/>
    </x:row>
    <x:row r="29">
      <x:c r="A29" s="12" t="str">
        <x:v>YouTube</x:v>
      </x:c>
      <x:c r="B29" s="12" t="str">
        <x:v>After Effects (adjacent)</x:v>
      </x:c>
      <x:c r="C29" s="12" t="n">
        <x:f>SUMIFS(Neutral_Edit_60!$J$2:$J$61,Neutral_Edit_60!$A$2:$A$61,A29)</x:f>
        <x:v>0</x:v>
      </x:c>
      <x:c r="D29" s="48" t="n">
        <x:f>C29/$B$6</x:f>
        <x:v>0</x:v>
      </x:c>
      <x:c r="E29" s="47" t="n">
        <x:f>SUMIFS(Neutral_Edit_60!$C$2:$C$61,Neutral_Edit_60!$A$2:$A$61,A29,Neutral_Edit_60!$J$2:$J$61,1)</x:f>
        <x:v>0</x:v>
      </x:c>
      <x:c r="F29" s="48" t="n">
        <x:f>E29/$C$6</x:f>
        <x:v>0</x:v>
      </x:c>
      <x:c r="G29" s="12"/>
      <x:c r="H29" s="12"/>
      <x:c r="I29" s="12"/>
    </x:row>
    <x:row r="30">
      <x:c r="A30" s="12" t="str">
        <x:v>YouTube</x:v>
      </x:c>
      <x:c r="B30" s="12" t="str">
        <x:v>剪映</x:v>
      </x:c>
      <x:c r="C30" s="12" t="n">
        <x:f>COUNTIFS(Neutral_Edit_60!$A$2:$A$61,A30,Neutral_Edit_60!$F$2:$F$61,B30)</x:f>
        <x:v>0</x:v>
      </x:c>
      <x:c r="D30" s="48" t="n">
        <x:f>C30/$B$6</x:f>
        <x:v>0</x:v>
      </x:c>
      <x:c r="E30" s="47" t="n">
        <x:f>SUMIFS(Neutral_Edit_60!$C$2:$C$61,Neutral_Edit_60!$A$2:$A$61,A30,Neutral_Edit_60!$F$2:$F$61,B30)</x:f>
        <x:v>0</x:v>
      </x:c>
      <x:c r="F30" s="48" t="n">
        <x:f>E30/$C$6</x:f>
        <x:v>0</x:v>
      </x:c>
      <x:c r="G30" s="12"/>
      <x:c r="H30" s="12"/>
      <x:c r="I30" s="12"/>
    </x:row>
    <x:row r="31">
      <x:c r="A31" s="12" t="str">
        <x:v>YouTube</x:v>
      </x:c>
      <x:c r="B31" s="12" t="str">
        <x:v>必剪</x:v>
      </x:c>
      <x:c r="C31" s="12" t="n">
        <x:f>COUNTIFS(Neutral_Edit_60!$A$2:$A$61,A31,Neutral_Edit_60!$F$2:$F$61,B31)</x:f>
        <x:v>0</x:v>
      </x:c>
      <x:c r="D31" s="48" t="n">
        <x:f>C31/$B$6</x:f>
        <x:v>0</x:v>
      </x:c>
      <x:c r="E31" s="47" t="n">
        <x:f>SUMIFS(Neutral_Edit_60!$C$2:$C$61,Neutral_Edit_60!$A$2:$A$61,A31,Neutral_Edit_60!$F$2:$F$61,B31)</x:f>
        <x:v>0</x:v>
      </x:c>
      <x:c r="F31" s="48" t="n">
        <x:f>E31/$C$6</x:f>
        <x:v>0</x:v>
      </x:c>
      <x:c r="G31" s="12"/>
      <x:c r="H31" s="12"/>
      <x:c r="I31" s="12"/>
    </x:row>
    <x:row r="32">
      <x:c r="A32" s="12" t="str">
        <x:v>YouTube</x:v>
      </x:c>
      <x:c r="B32" s="12" t="str">
        <x:v>DaVinci Resolve</x:v>
      </x:c>
      <x:c r="C32" s="12" t="n">
        <x:f>COUNTIFS(Neutral_Edit_60!$A$2:$A$61,A32,Neutral_Edit_60!$F$2:$F$61,B32)</x:f>
        <x:v>1</x:v>
      </x:c>
      <x:c r="D32" s="48" t="n">
        <x:f>C32/$B$6</x:f>
        <x:v>0.03333333333333333</x:v>
      </x:c>
      <x:c r="E32" s="47" t="n">
        <x:f>SUMIFS(Neutral_Edit_60!$C$2:$C$61,Neutral_Edit_60!$A$2:$A$61,A32,Neutral_Edit_60!$F$2:$F$61,B32)</x:f>
        <x:v>2900000</x:v>
      </x:c>
      <x:c r="F32" s="48" t="n">
        <x:f>E32/$C$6</x:f>
        <x:v>0.08199177820375805</x:v>
      </x:c>
      <x:c r="G32" s="12"/>
      <x:c r="H32" s="12"/>
      <x:c r="I32" s="12"/>
    </x:row>
    <x:row r="33">
      <x:c r="A33" s="12" t="str">
        <x:v>YouTube</x:v>
      </x:c>
      <x:c r="B33" s="12" t="str">
        <x:v>Final Cut Pro</x:v>
      </x:c>
      <x:c r="C33" s="12" t="n">
        <x:f>COUNTIFS(Neutral_Edit_60!$A$2:$A$61,A33,Neutral_Edit_60!$F$2:$F$61,B33)</x:f>
        <x:v>2</x:v>
      </x:c>
      <x:c r="D33" s="48" t="n">
        <x:f>C33/$B$6</x:f>
        <x:v>0.06666666666666667</x:v>
      </x:c>
      <x:c r="E33" s="47" t="n">
        <x:f>SUMIFS(Neutral_Edit_60!$C$2:$C$61,Neutral_Edit_60!$A$2:$A$61,A33,Neutral_Edit_60!$F$2:$F$61,B33)</x:f>
        <x:v>2200000</x:v>
      </x:c>
      <x:c r="F33" s="48" t="n">
        <x:f>E33/$C$6</x:f>
        <x:v>0.062200659326988865</x:v>
      </x:c>
      <x:c r="G33" s="12"/>
      <x:c r="H33" s="12"/>
      <x:c r="I33" s="12"/>
    </x:row>
    <x:row r="34">
      <x:c r="A34" s="12" t="str">
        <x:v>YouTube</x:v>
      </x:c>
      <x:c r="B34" s="12" t="str">
        <x:v>CapCut</x:v>
      </x:c>
      <x:c r="C34" s="12" t="n">
        <x:f>COUNTIFS(Neutral_Edit_60!$A$2:$A$61,A34,Neutral_Edit_60!$F$2:$F$61,B34)</x:f>
        <x:v>4</x:v>
      </x:c>
      <x:c r="D34" s="48" t="n">
        <x:f>C34/$B$6</x:f>
        <x:v>0.13333333333333333</x:v>
      </x:c>
      <x:c r="E34" s="47" t="n">
        <x:f>SUMIFS(Neutral_Edit_60!$C$2:$C$61,Neutral_Edit_60!$A$2:$A$61,A34,Neutral_Edit_60!$F$2:$F$61,B34)</x:f>
        <x:v>2753000</x:v>
      </x:c>
      <x:c r="F34" s="48" t="n">
        <x:f>E34/$C$6</x:f>
        <x:v>0.07783564323963653</x:v>
      </x:c>
      <x:c r="G34" s="12"/>
      <x:c r="H34" s="12"/>
      <x:c r="I34" s="12"/>
    </x:row>
    <x:row r="35">
      <x:c r="A35" s="12" t="str">
        <x:v>YouTube</x:v>
      </x:c>
      <x:c r="B35" s="12" t="str">
        <x:v>KineMaster</x:v>
      </x:c>
      <x:c r="C35" s="12" t="n">
        <x:f>COUNTIFS(Neutral_Edit_60!$A$2:$A$61,A35,Neutral_Edit_60!$F$2:$F$61,B35)</x:f>
        <x:v>4</x:v>
      </x:c>
      <x:c r="D35" s="48" t="n">
        <x:f>C35/$B$6</x:f>
        <x:v>0.13333333333333333</x:v>
      </x:c>
      <x:c r="E35" s="47" t="n">
        <x:f>SUMIFS(Neutral_Edit_60!$C$2:$C$61,Neutral_Edit_60!$A$2:$A$61,A35,Neutral_Edit_60!$F$2:$F$61,B35)</x:f>
        <x:v>7204000</x:v>
      </x:c>
      <x:c r="F35" s="48" t="n">
        <x:f>E35/$C$6</x:f>
        <x:v>0.20367888626892172</x:v>
      </x:c>
      <x:c r="G35" s="12"/>
      <x:c r="H35" s="12"/>
      <x:c r="I35" s="12"/>
    </x:row>
    <x:row r="36">
      <x:c r="A36" s="12" t="str">
        <x:v>YouTube</x:v>
      </x:c>
      <x:c r="B36" s="12" t="str">
        <x:v>Camtasia</x:v>
      </x:c>
      <x:c r="C36" s="12" t="n">
        <x:f>COUNTIFS(Neutral_Edit_60!$A$2:$A$61,A36,Neutral_Edit_60!$F$2:$F$61,B36)</x:f>
        <x:v>1</x:v>
      </x:c>
      <x:c r="D36" s="48" t="n">
        <x:f>C36/$B$6</x:f>
        <x:v>0.03333333333333333</x:v>
      </x:c>
      <x:c r="E36" s="47" t="n">
        <x:f>SUMIFS(Neutral_Edit_60!$C$2:$C$61,Neutral_Edit_60!$A$2:$A$61,A36,Neutral_Edit_60!$F$2:$F$61,B36)</x:f>
        <x:v>3800000</x:v>
      </x:c>
      <x:c r="F36" s="48" t="n">
        <x:f>E36/$C$6</x:f>
        <x:v>0.10743750247388986</x:v>
      </x:c>
      <x:c r="G36" s="12"/>
      <x:c r="H36" s="12"/>
      <x:c r="I36" s="12"/>
    </x:row>
    <x:row r="37">
      <x:c r="A37" s="12" t="str">
        <x:v>YouTube</x:v>
      </x:c>
      <x:c r="B37" s="12" t="str">
        <x:v>iMovie</x:v>
      </x:c>
      <x:c r="C37" s="12" t="n">
        <x:f>COUNTIFS(Neutral_Edit_60!$A$2:$A$61,A37,Neutral_Edit_60!$F$2:$F$61,B37)</x:f>
        <x:v>1</x:v>
      </x:c>
      <x:c r="D37" s="48" t="n">
        <x:f>C37/$B$6</x:f>
        <x:v>0.03333333333333333</x:v>
      </x:c>
      <x:c r="E37" s="47" t="n">
        <x:f>SUMIFS(Neutral_Edit_60!$C$2:$C$61,Neutral_Edit_60!$A$2:$A$61,A37,Neutral_Edit_60!$F$2:$F$61,B37)</x:f>
        <x:v>1300000</x:v>
      </x:c>
      <x:c r="F37" s="48" t="n">
        <x:f>E37/$C$6</x:f>
        <x:v>0.036754935056857056</x:v>
      </x:c>
      <x:c r="G37" s="12"/>
      <x:c r="H37" s="12"/>
      <x:c r="I37" s="12"/>
    </x:row>
    <x:row r="38">
      <x:c r="A38" s="12" t="str">
        <x:v>YouTube</x:v>
      </x:c>
      <x:c r="B38" s="12" t="str">
        <x:v>Filmora</x:v>
      </x:c>
      <x:c r="C38" s="12" t="n">
        <x:f>COUNTIFS(Neutral_Edit_60!$A$2:$A$61,A38,Neutral_Edit_60!$F$2:$F$61,B38)</x:f>
        <x:v>1</x:v>
      </x:c>
      <x:c r="D38" s="48" t="n">
        <x:f>C38/$B$6</x:f>
        <x:v>0.03333333333333333</x:v>
      </x:c>
      <x:c r="E38" s="47" t="n">
        <x:f>SUMIFS(Neutral_Edit_60!$C$2:$C$61,Neutral_Edit_60!$A$2:$A$61,A38,Neutral_Edit_60!$F$2:$F$61,B38)</x:f>
        <x:v>543000</x:v>
      </x:c>
      <x:c r="F38" s="48" t="n">
        <x:f>E38/$C$6</x:f>
        <x:v>0.015352253642979525</x:v>
      </x:c>
      <x:c r="G38" s="12"/>
      <x:c r="H38" s="12"/>
      <x:c r="I38" s="12"/>
    </x:row>
    <x:row r="39">
      <x:c r="A39" s="12" t="str">
        <x:v>YouTube</x:v>
      </x:c>
      <x:c r="B39" s="12" t="str">
        <x:v>Clipchamp</x:v>
      </x:c>
      <x:c r="C39" s="12" t="n">
        <x:f>COUNTIFS(Neutral_Edit_60!$A$2:$A$61,A39,Neutral_Edit_60!$F$2:$F$61,B39)</x:f>
        <x:v>2</x:v>
      </x:c>
      <x:c r="D39" s="48" t="n">
        <x:f>C39/$B$6</x:f>
        <x:v>0.06666666666666667</x:v>
      </x:c>
      <x:c r="E39" s="47" t="n">
        <x:f>SUMIFS(Neutral_Edit_60!$C$2:$C$61,Neutral_Edit_60!$A$2:$A$61,A39,Neutral_Edit_60!$F$2:$F$61,B39)</x:f>
        <x:v>281000</x:v>
      </x:c>
      <x:c r="F39" s="48" t="n">
        <x:f>E39/$C$6</x:f>
        <x:v>0.007944720577674487</x:v>
      </x:c>
      <x:c r="G39" s="12"/>
      <x:c r="H39" s="12"/>
      <x:c r="I39" s="12"/>
    </x:row>
    <x:row r="40">
      <x:c r="A40" s="12" t="str">
        <x:v>YouTube</x:v>
      </x:c>
      <x:c r="B40" s="12" t="str">
        <x:v>Adobe Express</x:v>
      </x:c>
      <x:c r="C40" s="12" t="n">
        <x:f>COUNTIFS(Neutral_Edit_60!$A$2:$A$61,A40,Neutral_Edit_60!$F$2:$F$61,B40)</x:f>
        <x:v>2</x:v>
      </x:c>
      <x:c r="D40" s="48" t="n">
        <x:f>C40/$B$6</x:f>
        <x:v>0.06666666666666667</x:v>
      </x:c>
      <x:c r="E40" s="47" t="n">
        <x:f>SUMIFS(Neutral_Edit_60!$C$2:$C$61,Neutral_Edit_60!$A$2:$A$61,A40,Neutral_Edit_60!$F$2:$F$61,B40)</x:f>
        <x:v>273400</x:v>
      </x:c>
      <x:c r="F40" s="48" t="n">
        <x:f>E40/$C$6</x:f>
        <x:v>0.007729845572726707</x:v>
      </x:c>
      <x:c r="G40" s="12"/>
      <x:c r="H40" s="12"/>
      <x:c r="I40" s="12"/>
    </x:row>
    <x:row r="41">
      <x:c r="A41" s="12" t="str">
        <x:v>YouTube</x:v>
      </x:c>
      <x:c r="B41" s="12" t="str">
        <x:v>Premiere Rush</x:v>
      </x:c>
      <x:c r="C41" s="12" t="n">
        <x:f>COUNTIFS(Neutral_Edit_60!$A$2:$A$61,A41,Neutral_Edit_60!$F$2:$F$61,B41)</x:f>
        <x:v>1</x:v>
      </x:c>
      <x:c r="D41" s="48" t="n">
        <x:f>C41/$B$6</x:f>
        <x:v>0.03333333333333333</x:v>
      </x:c>
      <x:c r="E41" s="47" t="n">
        <x:f>SUMIFS(Neutral_Edit_60!$C$2:$C$61,Neutral_Edit_60!$A$2:$A$61,A41,Neutral_Edit_60!$F$2:$F$61,B41)</x:f>
        <x:v>122000</x:v>
      </x:c>
      <x:c r="F41" s="48" t="n">
        <x:f>E41/$C$6</x:f>
        <x:v>0.003449309289951201</x:v>
      </x:c>
      <x:c r="G41" s="12"/>
      <x:c r="H41" s="12"/>
      <x:c r="I41" s="12"/>
    </x:row>
    <x:row r="42">
      <x:c r="A42" s="12" t="str">
        <x:v>YouTube</x:v>
      </x:c>
      <x:c r="B42" s="12" t="str">
        <x:v>Descript</x:v>
      </x:c>
      <x:c r="C42" s="12" t="n">
        <x:f>COUNTIFS(Neutral_Edit_60!$A$2:$A$61,A42,Neutral_Edit_60!$F$2:$F$61,B42)</x:f>
        <x:v>1</x:v>
      </x:c>
      <x:c r="D42" s="48" t="n">
        <x:f>C42/$B$6</x:f>
        <x:v>0.03333333333333333</x:v>
      </x:c>
      <x:c r="E42" s="47" t="n">
        <x:f>SUMIFS(Neutral_Edit_60!$C$2:$C$61,Neutral_Edit_60!$A$2:$A$61,A42,Neutral_Edit_60!$F$2:$F$61,B42)</x:f>
        <x:v>64000</x:v>
      </x:c>
      <x:c r="F42" s="48" t="n">
        <x:f>E42/$C$6</x:f>
        <x:v>0.0018094737258760396</x:v>
      </x:c>
      <x:c r="G42" s="12"/>
      <x:c r="H42" s="12"/>
      <x:c r="I42" s="12"/>
    </x:row>
    <x:row r="43">
      <x:c r="A43" s="12" t="str">
        <x:v>YouTube</x:v>
      </x:c>
      <x:c r="B43" s="12" t="str">
        <x:v>Canva</x:v>
      </x:c>
      <x:c r="C43" s="12" t="n">
        <x:f>COUNTIFS(Neutral_Edit_60!$A$2:$A$61,A43,Neutral_Edit_60!$F$2:$F$61,B43)</x:f>
        <x:v>1</x:v>
      </x:c>
      <x:c r="D43" s="48" t="n">
        <x:f>C43/$B$6</x:f>
        <x:v>0.03333333333333333</x:v>
      </x:c>
      <x:c r="E43" s="47" t="n">
        <x:f>SUMIFS(Neutral_Edit_60!$C$2:$C$61,Neutral_Edit_60!$A$2:$A$61,A43,Neutral_Edit_60!$F$2:$F$61,B43)</x:f>
        <x:v>33000</x:v>
      </x:c>
      <x:c r="F43" s="48" t="n">
        <x:f>E43/$C$6</x:f>
        <x:v>0.000933009889904833</x:v>
      </x:c>
      <x:c r="G43" s="12"/>
      <x:c r="H43" s="12"/>
      <x:c r="I43" s="12"/>
    </x:row>
    <x:row r="44">
      <x:c r="A44" s="12" t="str">
        <x:v>YouTube</x:v>
      </x:c>
      <x:c r="B44" s="12" t="str">
        <x:v>Software-agnostic</x:v>
      </x:c>
      <x:c r="C44" s="12" t="n">
        <x:f>COUNTIFS(Neutral_Edit_60!$A$2:$A$61,A44,Neutral_Edit_60!$F$2:$F$61,B44)</x:f>
        <x:v>4</x:v>
      </x:c>
      <x:c r="D44" s="48" t="n">
        <x:f>C44/$B$6</x:f>
        <x:v>0.13333333333333333</x:v>
      </x:c>
      <x:c r="E44" s="47" t="n">
        <x:f>SUMIFS(Neutral_Edit_60!$C$2:$C$61,Neutral_Edit_60!$A$2:$A$61,A44,Neutral_Edit_60!$F$2:$F$61,B44)</x:f>
        <x:v>2496000</x:v>
      </x:c>
      <x:c r="F44" s="48" t="n">
        <x:f>E44/$C$6</x:f>
        <x:v>0.07056947530916555</x:v>
      </x:c>
      <x:c r="G44" s="12"/>
      <x:c r="H44" s="12"/>
      <x:c r="I44" s="12"/>
    </x:row>
    <x:row r="45">
      <x:c r="A45" s="12" t="str">
        <x:v>YouTube</x:v>
      </x:c>
      <x:c r="B45" s="12" t="str">
        <x:v>Multi-tool</x:v>
      </x:c>
      <x:c r="C45" s="12" t="n">
        <x:f>COUNTIFS(Neutral_Edit_60!$A$2:$A$61,A45,Neutral_Edit_60!$F$2:$F$61,B45)</x:f>
        <x:v>0</x:v>
      </x:c>
      <x:c r="D45" s="48" t="n">
        <x:f>C45/$B$6</x:f>
        <x:v>0</x:v>
      </x:c>
      <x:c r="E45" s="47" t="n">
        <x:f>SUMIFS(Neutral_Edit_60!$C$2:$C$61,Neutral_Edit_60!$A$2:$A$61,A45,Neutral_Edit_60!$F$2:$F$61,B45)</x:f>
        <x:v>0</x:v>
      </x:c>
      <x:c r="F45" s="48" t="n">
        <x:f>E45/$C$6</x:f>
        <x:v>0</x:v>
      </x:c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</x:sheetData>
  <x:mergeCells>
    <x:mergeCell ref="A1:I1"/>
    <x:mergeCell ref="A2:I2"/>
    <x:mergeCell ref="H15:I15"/>
  </x:mergeCells>
  <x:pageMargins left="0.7" right="0.7" top="0.75" bottom="0.75" header="0.3" footer="0.3"/>
  <x:drawing xmlns:r="http://schemas.openxmlformats.org/officeDocument/2006/relationships" r:id="Rc31f6920653841cb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22" hidden="0" customWidth="1"/>
    <x:col min="6" max="6" width="23" hidden="0" customWidth="1"/>
    <x:col min="7" max="7" width="18" hidden="0" customWidth="1"/>
    <x:col min="8" max="8" width="18" hidden="0" customWidth="1"/>
  </x:cols>
  <x:sheetData>
    <x:row r="1">
      <x:c r="A1" s="89" t="str">
        <x:v>AI短剧教程 vs 传统/专业剪辑教程：同平台学习入口分叉</x:v>
      </x:c>
      <x:c r="B1" s="89"/>
      <x:c r="C1" s="89"/>
      <x:c r="D1" s="89"/>
      <x:c r="E1" s="89"/>
      <x:c r="F1" s="89"/>
      <x:c r="G1" s="89"/>
      <x:c r="H1" s="89"/>
      <x:c r="I1" s="79"/>
    </x:row>
    <x:row r="2">
      <x:c r="A2" s="83" t="str">
        <x:v>v1和v3都用播放量暴露衡量“热门教程把新手带到哪套工具链”。两者都不是软件真实市场份额。</x:v>
      </x:c>
      <x:c r="B2" s="83"/>
      <x:c r="C2" s="83"/>
      <x:c r="D2" s="83"/>
      <x:c r="E2" s="83"/>
      <x:c r="F2" s="83"/>
      <x:c r="G2" s="83"/>
      <x:c r="H2" s="83"/>
      <x:c r="I2" s="83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75" t="str">
        <x:v>Layer</x:v>
      </x:c>
      <x:c r="B4" s="75" t="str">
        <x:v>Platform</x:v>
      </x:c>
      <x:c r="C4" s="75" t="str">
        <x:v>Total_views</x:v>
      </x:c>
      <x:c r="D4" s="75" t="str">
        <x:v>Adobe_view_share</x:v>
      </x:c>
      <x:c r="E4" s="75" t="str">
        <x:v>ByteDance_editor_view_share</x:v>
      </x:c>
      <x:c r="F4" s="75" t="str">
        <x:v>Platform_native_view_share</x:v>
      </x:c>
      <x:c r="G4" s="75" t="str">
        <x:v>Premiere_view_share</x:v>
      </x:c>
      <x:c r="H4" s="75" t="str">
        <x:v>DaVinci_view_share</x:v>
      </x:c>
      <x:c r="J4" s="75" t="str">
        <x:v>Layer</x:v>
      </x:c>
      <x:c r="K4" s="75" t="str">
        <x:v>Adobe</x:v>
      </x:c>
      <x:c r="L4" s="75" t="str">
        <x:v>ByteDance</x:v>
      </x:c>
      <x:c r="M4" s="75" t="str">
        <x:v>Premiere</x:v>
      </x:c>
    </x:row>
    <x:row r="5">
      <x:c r="A5" s="12" t="str">
        <x:v>AI短剧/AI影视 v1</x:v>
      </x:c>
      <x:c r="B5" s="12" t="str">
        <x:v>Bilibili</x:v>
      </x:c>
      <x:c r="C5" s="47" t="n">
        <x:f>SUMIF(Sample_60!$A$2:$A$61,"Bilibili",Sample_60!$C$2:$C$61)</x:f>
        <x:v>10031000</x:v>
      </x:c>
      <x:c r="D5" s="48" t="n">
        <x:f>SUMIFS(Sample_60!$C$2:$C$61,Sample_60!$A$2:$A$61,"Bilibili",Sample_60!$Q$2:$Q$61,1)/C5</x:f>
        <x:v>0</x:v>
      </x:c>
      <x:c r="E5" s="48" t="n">
        <x:f>SUMIFS(Sample_60!$C$2:$C$61,Sample_60!$A$2:$A$61,"Bilibili",Sample_60!$K$2:$K$61,1)/C5</x:f>
        <x:v>0.6050244242847174</x:v>
      </x:c>
      <x:c r="F5" s="48" t="n">
        <x:v>0</x:v>
      </x:c>
      <x:c r="G5" s="48" t="n">
        <x:v>0</x:v>
      </x:c>
      <x:c r="H5" s="48" t="n">
        <x:v>0</x:v>
      </x:c>
      <x:c r="J5" t="str">
        <x:v>Bili AI v1</x:v>
      </x:c>
      <x:c r="K5" s="38" t="n">
        <x:f>D5</x:f>
        <x:v>0</x:v>
      </x:c>
      <x:c r="L5" s="38" t="n">
        <x:f>E5</x:f>
        <x:v>0.6050244242847174</x:v>
      </x:c>
      <x:c r="M5" s="38" t="n">
        <x:f>G5</x:f>
        <x:v>0</x:v>
      </x:c>
    </x:row>
    <x:row r="6">
      <x:c r="A6" s="12" t="str">
        <x:v>传统/专业剪辑 v3</x:v>
      </x:c>
      <x:c r="B6" s="12" t="str">
        <x:v>Bilibili</x:v>
      </x:c>
      <x:c r="C6" s="47" t="n">
        <x:f>Neutral_Summary!C5</x:f>
        <x:v>137008000</x:v>
      </x:c>
      <x:c r="D6" s="48" t="n">
        <x:f>Neutral_Summary!G5</x:f>
        <x:v>0.7984278290318814</x:v>
      </x:c>
      <x:c r="E6" s="48" t="n">
        <x:f>(SUMIFS(Neutral_Edit_60!$C$2:$C$61,Neutral_Edit_60!$A$2:$A$61,"Bilibili",Neutral_Edit_60!$M$2:$M$61,1))/C6</x:f>
        <x:v>0.04558857876912297</x:v>
      </x:c>
      <x:c r="F6" s="48" t="n">
        <x:f>(SUMIFS(Neutral_Edit_60!$C$2:$C$61,Neutral_Edit_60!$A$2:$A$61,"Bilibili",Neutral_Edit_60!$N$2:$N$61,1))/C6</x:f>
        <x:v>0.03557456498890576</x:v>
      </x:c>
      <x:c r="G6" s="48" t="n">
        <x:f>SUMIFS(Neutral_Edit_60!$C$2:$C$61,Neutral_Edit_60!$A$2:$A$61,"Bilibili",Neutral_Edit_60!$F$2:$F$61,"Premiere Pro")/C6</x:f>
        <x:v>0.7332783487095644</x:v>
      </x:c>
      <x:c r="H6" s="48" t="n">
        <x:f>SUMIFS(Neutral_Edit_60!$C$2:$C$61,Neutral_Edit_60!$A$2:$A$61,"Bilibili",Neutral_Edit_60!$F$2:$F$61,"DaVinci Resolve")/C6</x:f>
        <x:v>0.03412939390400561</x:v>
      </x:c>
      <x:c r="J6" t="str">
        <x:v>Bili Traditional v3</x:v>
      </x:c>
      <x:c r="K6" s="38" t="n">
        <x:f>D6</x:f>
        <x:v>0.7984278290318814</x:v>
      </x:c>
      <x:c r="L6" s="38" t="n">
        <x:f>E6</x:f>
        <x:v>0.04558857876912297</x:v>
      </x:c>
      <x:c r="M6" s="38" t="n">
        <x:f>G6</x:f>
        <x:v>0.7332783487095644</x:v>
      </x:c>
    </x:row>
    <x:row r="7">
      <x:c r="A7" s="12" t="str">
        <x:v>AI filmmaking v1</x:v>
      </x:c>
      <x:c r="B7" s="12" t="str">
        <x:v>YouTube</x:v>
      </x:c>
      <x:c r="C7" s="47" t="n">
        <x:f>SUMIF(Sample_60!$A$2:$A$61,"YouTube",Sample_60!$C$2:$C$61)</x:f>
        <x:v>9967707</x:v>
      </x:c>
      <x:c r="D7" s="48" t="n">
        <x:f>SUMIFS(Sample_60!$C$2:$C$61,Sample_60!$A$2:$A$61,"YouTube",Sample_60!$Q$2:$Q$61,1)/C7</x:f>
        <x:v>0.05481471315318558</x:v>
      </x:c>
      <x:c r="E7" s="48" t="n">
        <x:f>SUMIFS(Sample_60!$C$2:$C$61,Sample_60!$A$2:$A$61,"YouTube",Sample_60!$L$2:$L$61,1)/C7</x:f>
        <x:v>0.12500367436562893</x:v>
      </x:c>
      <x:c r="F7" s="48" t="n">
        <x:v>0</x:v>
      </x:c>
      <x:c r="G7" s="48" t="n">
        <x:f>SUMIFS(Sample_60!$C$2:$C$61,Sample_60!$A$2:$A$61,"YouTube",Sample_60!$M$2:$M$61,1)/C7</x:f>
        <x:v>0.05481471315318558</x:v>
      </x:c>
      <x:c r="H7" s="48" t="n">
        <x:f>SUMIFS(Sample_60!$C$2:$C$61,Sample_60!$A$2:$A$61,"YouTube",Sample_60!$O$2:$O$61,1)/C7</x:f>
        <x:v>0.03802278698601393</x:v>
      </x:c>
      <x:c r="J7" t="str">
        <x:v>YT AI v1</x:v>
      </x:c>
      <x:c r="K7" s="38" t="n">
        <x:f>D7</x:f>
        <x:v>0.05481471315318558</x:v>
      </x:c>
      <x:c r="L7" s="38" t="n">
        <x:f>E7</x:f>
        <x:v>0.12500367436562893</x:v>
      </x:c>
      <x:c r="M7" s="38" t="n">
        <x:f>G7</x:f>
        <x:v>0.05481471315318558</x:v>
      </x:c>
    </x:row>
    <x:row r="8">
      <x:c r="A8" s="12" t="str">
        <x:v>传统/视频剪辑 v3</x:v>
      </x:c>
      <x:c r="B8" s="12" t="str">
        <x:v>YouTube</x:v>
      </x:c>
      <x:c r="C8" s="47" t="n">
        <x:f>Neutral_Summary!C6</x:f>
        <x:v>35369400</x:v>
      </x:c>
      <x:c r="D8" s="48" t="n">
        <x:f>Neutral_Summary!G6</x:f>
        <x:v>0.3334916622843475</x:v>
      </x:c>
      <x:c r="E8" s="48" t="n">
        <x:f>(SUMIFS(Neutral_Edit_60!$C$2:$C$61,Neutral_Edit_60!$A$2:$A$61,"YouTube",Neutral_Edit_60!$M$2:$M$61,1))/C8</x:f>
        <x:v>0.07783564323963653</x:v>
      </x:c>
      <x:c r="F8" s="48" t="n">
        <x:v>0</x:v>
      </x:c>
      <x:c r="G8" s="48" t="n">
        <x:f>SUMIFS(Neutral_Edit_60!$C$2:$C$61,Neutral_Edit_60!$A$2:$A$61,"YouTube",Neutral_Edit_60!$F$2:$F$61,"Premiere Pro")/C8</x:f>
        <x:v>0.32231250742166956</x:v>
      </x:c>
      <x:c r="H8" s="48" t="n">
        <x:f>SUMIFS(Neutral_Edit_60!$C$2:$C$61,Neutral_Edit_60!$A$2:$A$61,"YouTube",Neutral_Edit_60!$F$2:$F$61,"DaVinci Resolve")/C8</x:f>
        <x:v>0.08199177820375805</x:v>
      </x:c>
      <x:c r="J8" t="str">
        <x:v>YT Traditional v3</x:v>
      </x:c>
      <x:c r="K8" s="38" t="n">
        <x:f>D8</x:f>
        <x:v>0.3334916622843475</x:v>
      </x:c>
      <x:c r="L8" s="38" t="n">
        <x:f>E8</x:f>
        <x:v>0.07783564323963653</x:v>
      </x:c>
      <x:c r="M8" s="38" t="n">
        <x:f>G8</x:f>
        <x:v>0.32231250742166956</x:v>
      </x:c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75" t="str">
        <x:v>Finding</x:v>
      </x:c>
      <x:c r="B11" s="75" t="str">
        <x:v>Bili AI v1</x:v>
      </x:c>
      <x:c r="C11" s="75" t="str">
        <x:v>Bili traditional v3</x:v>
      </x:c>
      <x:c r="D11" s="75" t="str">
        <x:v>YT AI v1</x:v>
      </x:c>
      <x:c r="E11" s="75" t="str">
        <x:v>YT traditional v3</x:v>
      </x:c>
      <x:c r="F11" s="75" t="str">
        <x:v>What it supports</x:v>
      </x:c>
      <x:c r="G11" s="75" t="str">
        <x:v>Caveat</x:v>
      </x:c>
      <x:c r="H11" s="12"/>
    </x:row>
    <x:row r="12">
      <x:c r="A12" s="12" t="str">
        <x:v>Adobe入口</x:v>
      </x:c>
      <x:c r="B12" s="12" t="str">
        <x:v>显性0/30</x:v>
      </x:c>
      <x:c r="C12" s="12" t="str">
        <x:v>Adobe相关教程播放暴露约80%</x:v>
      </x:c>
      <x:c r="D12" s="12" t="str">
        <x:v>AI层有Premiere/AE显性样本</x:v>
      </x:c>
      <x:c r="E12" s="12" t="str">
        <x:v>Adobe约1/3播放暴露</x:v>
      </x:c>
      <x:c r="F12" s="12" t="str">
        <x:v>Bilibili存在明显的“AI短剧绕Adobe、传统专业回Adobe”分叉。</x:v>
      </x:c>
      <x:c r="G12" s="12" t="str">
        <x:v>v3 Bili被几个超高播放PR课程强烈加权；这是入口暴露，不是市占率。</x:v>
      </x:c>
      <x:c r="H12" s="12"/>
    </x:row>
    <x:row r="13">
      <x:c r="A13" s="12" t="str">
        <x:v>字节系编辑器</x:v>
      </x:c>
      <x:c r="B13" s="12" t="str">
        <x:v>剪映显性教程承载60.5%样本播放</x:v>
      </x:c>
      <x:c r="C13" s="12" t="str">
        <x:v>剪映约4.6%；若加必剪约8.1%</x:v>
      </x:c>
      <x:c r="D13" s="12" t="str">
        <x:v>CapCut在AI层存在</x:v>
      </x:c>
      <x:c r="E13" s="12" t="str">
        <x:v>CapCut约7.8%</x:v>
      </x:c>
      <x:c r="F13" s="12" t="str">
        <x:v>中国AI短剧入口比传统视频学习入口更集中到剪映。</x:v>
      </x:c>
      <x:c r="G13" s="12" t="str">
        <x:v>未知/软件无关教程不会被强行分配。</x:v>
      </x:c>
      <x:c r="H13" s="12"/>
    </x:row>
    <x:row r="14">
      <x:c r="A14" s="12" t="str">
        <x:v>专业NLE</x:v>
      </x:c>
      <x:c r="B14" s="12" t="str">
        <x:v>AI层几乎不显性</x:v>
      </x:c>
      <x:c r="C14" s="12" t="str">
        <x:v>Premiere+DaVinci+FCP约77%播放暴露</x:v>
      </x:c>
      <x:c r="D14" s="12" t="str">
        <x:v>AI层存在Premiere/DaVinci</x:v>
      </x:c>
      <x:c r="E14" s="12" t="str">
        <x:v>三大专业NLE约46.7%</x:v>
      </x:c>
      <x:c r="F14" s="12" t="str">
        <x:v>高质量/传统剪辑教程明显保留专业NLE。</x:v>
      </x:c>
      <x:c r="G14" s="12" t="str">
        <x:v>YouTube是全球平台样本，不等于美国样本。</x:v>
      </x:c>
      <x:c r="H14" s="12"/>
    </x:row>
    <x:row r="15">
      <x:c r="A15" s="12" t="str">
        <x:v>集中度</x:v>
      </x:c>
      <x:c r="B15" s="12" t="str">
        <x:v>已知编辑器几乎都指向剪映</x:v>
      </x:c>
      <x:c r="C15" s="12" t="str">
        <x:v>具体编辑器HHI很高（Premiere主导）</x:v>
      </x:c>
      <x:c r="D15" s="12" t="str">
        <x:v>多编辑器并存</x:v>
      </x:c>
      <x:c r="E15" s="12" t="str">
        <x:v>具体编辑器HHI明显更低</x:v>
      </x:c>
      <x:c r="F15" s="12" t="str">
        <x:v>Bilibili两层都比YouTube更容易形成单一强入口，但主导工具不同。</x:v>
      </x:c>
      <x:c r="G15" s="12" t="str">
        <x:v>HHI仅在本固定样本内有意义。</x:v>
      </x:c>
      <x:c r="H15" s="12"/>
    </x:row>
    <x:row r="16">
      <x:c r="A16" s="12" t="str">
        <x:v>国家解释</x:v>
      </x:c>
      <x:c r="B16" s="12" t="str">
        <x:v>Bilibili≈中文创作者生态</x:v>
      </x:c>
      <x:c r="C16" s="12" t="str">
        <x:v>Bilibili≈中文创作者生态</x:v>
      </x:c>
      <x:c r="D16" s="12" t="str">
        <x:v>YouTube≠美国</x:v>
      </x:c>
      <x:c r="E16" s="12" t="str">
        <x:v>YouTube≠美国</x:v>
      </x:c>
      <x:c r="F16" s="12" t="str">
        <x:v>如果要做中美产业结论，应继续用美国岗位/机构数据交叉验证。</x:v>
      </x:c>
      <x:c r="G16" s="12" t="str">
        <x:v>不要把YouTube平台数据直接写成美国市场份额。</x:v>
      </x:c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95f69e8e41d54761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91" t="str">
        <x:v>v3 方法：怎样把“教程入口”做成可复查的真实数据</x:v>
      </x:c>
      <x:c r="B1" s="91"/>
      <x:c r="C1" s="91"/>
      <x:c r="D1" s="91"/>
      <x:c r="E1" s="91"/>
      <x:c r="F1" s="91"/>
    </x:row>
    <x:row r="3">
      <x:c r="A3" s="76" t="str">
        <x:v>项目</x:v>
      </x:c>
      <x:c r="B3" s="76" t="str">
        <x:v>规则/说明</x:v>
      </x:c>
      <x:c r="C3" s="76" t="str"/>
      <x:c r="D3" s="76" t="str"/>
      <x:c r="E3" s="76" t="str"/>
      <x:c r="F3" s="76" t="str"/>
    </x:row>
    <x:row r="4">
      <x:c r="A4" s="15" t="str">
        <x:v>快照日期</x:v>
      </x:c>
      <x:c r="B4" s="15" t="str">
        <x:v>2026-08-16</x:v>
      </x:c>
      <x:c r="C4" s="15" t="str"/>
      <x:c r="D4" s="15" t="str"/>
      <x:c r="E4" s="15" t="str"/>
      <x:c r="F4" s="15" t="str"/>
    </x:row>
    <x:row r="5">
      <x:c r="A5" s="15" t="str">
        <x:v>研究问题</x:v>
      </x:c>
      <x:c r="B5" s="15" t="str">
        <x:v>AI短剧教程与传统/专业视频剪辑教程，是否把创作者带向不同的软件生产链？</x:v>
      </x:c>
      <x:c r="C5" s="15" t="str"/>
      <x:c r="D5" s="15" t="str"/>
      <x:c r="E5" s="15" t="str"/>
      <x:c r="F5" s="15" t="str"/>
    </x:row>
    <x:row r="6">
      <x:c r="A6" s="15" t="str">
        <x:v>Bilibili中性发现词</x:v>
      </x:c>
      <x:c r="B6" s="15" t="str">
        <x:v>视频剪辑教程 新手 入门 全流程；影视后期 系统教学 剪辑 教程；剪辑理论 教程。发现阶段不加入PR/剪映/达芬奇等软件名。</x:v>
      </x:c>
      <x:c r="C6" s="15" t="str"/>
      <x:c r="D6" s="15" t="str"/>
      <x:c r="E6" s="15" t="str"/>
      <x:c r="F6" s="15" t="str"/>
    </x:row>
    <x:row r="7">
      <x:c r="A7" s="15" t="str">
        <x:v>YouTube中性发现词</x:v>
      </x:c>
      <x:c r="B7" s="15" t="str">
        <x:v>beginner video editing tutorial full course；video editing tutorial beginners start to finish。发现阶段不加入Premiere/CapCut/DaVinci等软件名。</x:v>
      </x:c>
      <x:c r="C7" s="15" t="str"/>
      <x:c r="D7" s="15" t="str"/>
      <x:c r="E7" s="15" t="str"/>
      <x:c r="F7" s="15" t="str"/>
    </x:row>
    <x:row r="8">
      <x:c r="A8" s="15" t="str">
        <x:v>样本固定方式</x:v>
      </x:c>
      <x:c r="B8" s="15" t="str">
        <x:v>从本轮中性搜索与其公开相关推荐形成候选池，去重后按观察播放量优先，固定Bilibili 30 + YouTube 30。以后v3复查保持标题/URL不变，只更新计数/新增证据。</x:v>
      </x:c>
      <x:c r="C8" s="15" t="str"/>
      <x:c r="D8" s="15" t="str"/>
      <x:c r="E8" s="15" t="str"/>
      <x:c r="F8" s="15" t="str"/>
    </x:row>
    <x:row r="9">
      <x:c r="A9" s="15" t="str">
        <x:v>为什么不是官方Top30</x:v>
      </x:c>
      <x:c r="B9" s="15" t="str">
        <x:v>平台公开搜索无法稳定导出全站“按播放量绝对排序”的全集，所以只称 search-visible high-view fixed sample。</x:v>
      </x:c>
      <x:c r="C9" s="15" t="str"/>
      <x:c r="D9" s="15" t="str"/>
      <x:c r="E9" s="15" t="str"/>
      <x:c r="F9" s="15" t="str"/>
    </x:row>
    <x:row r="10">
      <x:c r="A10" s="15" t="str">
        <x:v>播放量口径</x:v>
      </x:c>
      <x:c r="B10" s="15" t="str">
        <x:v>Observed_views是2026-08-16可见的公开计数/搜索或相关推荐卡片快照；万/K/M统一换算。它是研究快照，不是假装实时精确API数据。</x:v>
      </x:c>
      <x:c r="C10" s="15" t="str"/>
      <x:c r="D10" s="15" t="str"/>
      <x:c r="E10" s="15" t="str"/>
      <x:c r="F10" s="15" t="str"/>
    </x:row>
    <x:row r="11">
      <x:c r="A11" s="15" t="str">
        <x:v>软件编码</x:v>
      </x:c>
      <x:c r="B11" s="15" t="str">
        <x:v>只有标题、章节、简介或可核验证据能确认时才填具体Primary_Editor；比较型教程记Multi-tool；理论/通用课记Software-agnostic；AE/C4D可记Adjacent-post。</x:v>
      </x:c>
      <x:c r="C11" s="15" t="str"/>
      <x:c r="D11" s="15" t="str"/>
      <x:c r="E11" s="15" t="str"/>
      <x:c r="F11" s="15" t="str"/>
    </x:row>
    <x:row r="12">
      <x:c r="A12" s="15" t="str">
        <x:v>Adobe_NLE</x:v>
      </x:c>
      <x:c r="B12" s="15" t="str">
        <x:v>仅Premiere Pro/Premiere Rush等Adobe直接视频编辑器记Adobe_NLE=1。</x:v>
      </x:c>
      <x:c r="C12" s="15" t="str"/>
      <x:c r="D12" s="15" t="str"/>
      <x:c r="E12" s="15" t="str"/>
      <x:c r="F12" s="15" t="str"/>
    </x:row>
    <x:row r="13">
      <x:c r="A13" s="15" t="str">
        <x:v>Adobe_Any</x:v>
      </x:c>
      <x:c r="B13" s="15" t="str">
        <x:v>Adobe NLE、After Effects相邻后期、Adobe Express等只要是Adobe视频生产工具即记1；用于研究“Adobe是否进入生产链”。</x:v>
      </x:c>
      <x:c r="C13" s="15" t="str"/>
      <x:c r="D13" s="15" t="str"/>
      <x:c r="E13" s="15" t="str"/>
      <x:c r="F13" s="15" t="str"/>
    </x:row>
    <x:row r="14">
      <x:c r="A14" s="15" t="str">
        <x:v>Resolved_Specific_Editor</x:v>
      </x:c>
      <x:c r="B14" s="15" t="str">
        <x:v>Primary_Editor明确到单一具体编辑器时为1；Multi-tool、Software-agnostic、Adjacent-post为0。用于计算已解析编辑器的覆盖率与HHI。</x:v>
      </x:c>
      <x:c r="C14" s="15" t="str"/>
      <x:c r="D14" s="15" t="str"/>
      <x:c r="E14" s="15" t="str"/>
      <x:c r="F14" s="15" t="str"/>
    </x:row>
    <x:row r="15">
      <x:c r="A15" s="15" t="str">
        <x:v>HHI</x:v>
      </x:c>
      <x:c r="B15" s="15" t="str">
        <x:v>对已解析到具体编辑器的播放量份额平方求和。越接近1代表本固定样本的教程入口越集中；绝不能解释成真实市场集中度。</x:v>
      </x:c>
      <x:c r="C15" s="15" t="str"/>
      <x:c r="D15" s="15" t="str"/>
      <x:c r="E15" s="15" t="str"/>
      <x:c r="F15" s="15" t="str"/>
    </x:row>
    <x:row r="16">
      <x:c r="A16" s="15" t="str">
        <x:v>YouTube地域限制</x:v>
      </x:c>
      <x:c r="B16" s="15" t="str">
        <x:v>YouTube是全球平台。本v3只研究平台教程入口，不把YouTube样本直接等同美国。美国专业生产链应继续用岗位招聘、机构流程、电影/广告制作数据交叉验证。</x:v>
      </x:c>
      <x:c r="C16" s="15" t="str"/>
      <x:c r="D16" s="15" t="str"/>
      <x:c r="E16" s="15" t="str"/>
      <x:c r="F16" s="15" t="str"/>
    </x:row>
    <x:row r="17">
      <x:c r="A17" s="15" t="str">
        <x:v>最重要的限制</x:v>
      </x:c>
      <x:c r="B17" s="15" t="str">
        <x:v>教程播放暴露≈新手接触某工具的机会，不等于创作者真实安装量、付费份额、企业seat数或最终成片软件遥测。</x:v>
      </x:c>
      <x:c r="C17" s="15" t="str"/>
      <x:c r="D17" s="15" t="str"/>
      <x:c r="E17" s="15" t="str"/>
      <x:c r="F17" s="15" t="str"/>
    </x:row>
  </x:sheetData>
  <x:mergeCells>
    <x:mergeCell ref="A1:F1"/>
  </x:mergeCells>
  <x:pageMargins left="0.7" right="0.7" top="0.75" bottom="0.75" header="0.3" footer="0.3"/>
</x:worksheet>
</file>